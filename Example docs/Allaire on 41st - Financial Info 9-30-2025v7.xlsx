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8680" yWindow="-120" windowWidth="16220" windowHeight="9220"/>
  </bookViews>
  <sheets>
    <sheet name="KPIs" sheetId="11" r:id="rId1"/>
    <sheet name="Analyzer" sheetId="9" r:id="rId2"/>
    <sheet name="BS &amp; IS (Combined)" sheetId="12" r:id="rId3"/>
    <sheet name="IS (Combined)" sheetId="5" r:id="rId4"/>
    <sheet name="CapEx" sheetId="13" state="hidden" r:id="rId5"/>
    <sheet name="Fund Exp" sheetId="14" state="hidden" r:id="rId6"/>
    <sheet name="Fixed Assets" sheetId="15" r:id="rId7"/>
    <sheet name="Cash Flow (Combined)" sheetId="8" state="hidden" r:id="rId8"/>
    <sheet name="TB Combined" sheetId="2" r:id="rId9"/>
    <sheet name="IS" sheetId="1" r:id="rId10"/>
    <sheet name="BS" sheetId="3" r:id="rId11"/>
    <sheet name="Bad Debt" sheetId="17" r:id="rId12"/>
    <sheet name="Balance Sheet &amp; IS" sheetId="4" r:id="rId13"/>
    <sheet name="Debt Service" sheetId="10" r:id="rId14"/>
    <sheet name="IS (Combined) (Q2)" sheetId="16" r:id="rId15"/>
    <sheet name="Cash Flow" sheetId="6" state="hidden" r:id="rId16"/>
  </sheets>
  <externalReferences>
    <externalReference r:id="rId17"/>
    <externalReference r:id="rId18"/>
    <externalReference r:id="rId19"/>
    <externalReference r:id="rId20"/>
    <externalReference r:id="rId21"/>
  </externalReferences>
  <definedNames>
    <definedName name="Beg_Bal">'[1]Loan Amortization'!$C$19:$C$378</definedName>
    <definedName name="CompanyName">#REF!</definedName>
    <definedName name="CustomerLookup">#REF!</definedName>
    <definedName name="End_Bal">'[1]Loan Amortization'!$I$19:$I$378</definedName>
    <definedName name="Extra_Pay">'[1]Loan Amortization'!$E$19:$E$378</definedName>
    <definedName name="Int">'[1]Loan Amortization'!$H$19:$H$378</definedName>
    <definedName name="Interest_Rate">'[1]Loan Amortization'!$D$6</definedName>
    <definedName name="Invoice_No">#REF!</definedName>
    <definedName name="InvoiceNoDetails">"InvoiceDetails[Invoice No]"</definedName>
    <definedName name="Loan_Amount">'[1]Loan Amortization'!$D$5</definedName>
    <definedName name="Loan_Start">'[1]Loan Amortization'!$D$8</definedName>
    <definedName name="Loan_Years">'[1]Loan Amortization'!$D$7</definedName>
    <definedName name="Number_of_Payments" localSheetId="6">MATCH(0.01,End_Bal,-1)+1</definedName>
    <definedName name="Number_of_Payments" localSheetId="14">MATCH(0.01,End_Bal,-1)+1</definedName>
    <definedName name="Number_of_Payments">MATCH(0.01,End_Bal,-1)+1</definedName>
    <definedName name="Pay_Num">'[1]Loan Amortization'!$A$19:$A$378</definedName>
    <definedName name="Princ">'[1]Loan Amortization'!$G$19:$G$378</definedName>
    <definedName name="rngInvoice">#REF!</definedName>
    <definedName name="Sched_Pay">'[1]Loan Amortization'!$D$19:$D$378</definedName>
    <definedName name="Scheduled_Extra_Payments">'[1]Loan Amortization'!$D$9</definedName>
    <definedName name="Scheduled_Monthly_Payment">'[1]Loan Amortization'!$D$12</definedName>
    <definedName name="Total_Pay">'[1]Loan Amortization'!$F$19:$F$378</definedName>
    <definedName name="Values_Entered" localSheetId="6">IF(Loan_Amount*Interest_Rate*Loan_Years*Loan_Start&gt;0,1,0)</definedName>
    <definedName name="Values_Entered" localSheetId="14">IF(Loan_Amount*Interest_Rate*Loan_Years*Loan_Start&gt;0,1,0)</definedName>
    <definedName name="Values_Entered">IF(Loan_Amount*Interest_Rate*Loan_Years*Loan_Start&gt;0,1,0)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9" l="1"/>
  <c r="D14" i="5"/>
  <c r="B14" i="5"/>
  <c r="H23" i="17"/>
  <c r="H22" i="17"/>
  <c r="H21" i="17"/>
  <c r="F45" i="2"/>
  <c r="F7" i="2"/>
  <c r="H45" i="2"/>
  <c r="H46" i="2"/>
  <c r="C17" i="5"/>
  <c r="C44" i="5"/>
  <c r="C50" i="5"/>
  <c r="C53" i="5"/>
  <c r="C54" i="5"/>
  <c r="C59" i="5"/>
  <c r="C67" i="5"/>
  <c r="C72" i="5"/>
  <c r="C14" i="5" l="1"/>
  <c r="B79" i="16"/>
  <c r="B75" i="16"/>
  <c r="B74" i="16"/>
  <c r="B73" i="16"/>
  <c r="B71" i="16"/>
  <c r="B70" i="16"/>
  <c r="B69" i="16"/>
  <c r="B68" i="16"/>
  <c r="B65" i="16"/>
  <c r="B64" i="16"/>
  <c r="B63" i="16"/>
  <c r="B60" i="16"/>
  <c r="B59" i="16"/>
  <c r="B58" i="16"/>
  <c r="B57" i="16"/>
  <c r="B56" i="16"/>
  <c r="B55" i="16"/>
  <c r="B52" i="16"/>
  <c r="B50" i="16"/>
  <c r="B51" i="16" s="1"/>
  <c r="B53" i="16" s="1"/>
  <c r="B46" i="16"/>
  <c r="B47" i="16" s="1"/>
  <c r="B43" i="16"/>
  <c r="B42" i="16"/>
  <c r="B44" i="16" s="1"/>
  <c r="B41" i="16"/>
  <c r="B40" i="16"/>
  <c r="B38" i="16"/>
  <c r="B36" i="16"/>
  <c r="B35" i="16"/>
  <c r="B37" i="16" s="1"/>
  <c r="B31" i="16"/>
  <c r="B30" i="16"/>
  <c r="B29" i="16"/>
  <c r="B28" i="16"/>
  <c r="B26" i="16"/>
  <c r="B25" i="16"/>
  <c r="B24" i="16"/>
  <c r="B23" i="16"/>
  <c r="B22" i="16"/>
  <c r="B21" i="16"/>
  <c r="B20" i="16"/>
  <c r="B19" i="16"/>
  <c r="B18" i="16"/>
  <c r="B17" i="16"/>
  <c r="B16" i="16"/>
  <c r="B27" i="16" s="1"/>
  <c r="B13" i="16"/>
  <c r="B12" i="16"/>
  <c r="B11" i="16"/>
  <c r="B66" i="16" l="1"/>
  <c r="B72" i="16"/>
  <c r="B76" i="16" s="1"/>
  <c r="B78" i="16" s="1"/>
  <c r="B80" i="16" s="1"/>
  <c r="B61" i="16"/>
  <c r="B14" i="16"/>
  <c r="B32" i="16" s="1"/>
  <c r="C132" i="9" l="1"/>
  <c r="E20" i="15" l="1"/>
  <c r="F74" i="2"/>
  <c r="F75" i="2"/>
  <c r="F76" i="2"/>
  <c r="F77" i="2"/>
  <c r="F73" i="2"/>
  <c r="F13" i="2" s="1"/>
  <c r="F24" i="2"/>
  <c r="E89" i="9" l="1"/>
  <c r="E90" i="9"/>
  <c r="E91" i="9"/>
  <c r="E92" i="9"/>
  <c r="E93" i="9"/>
  <c r="E94" i="9"/>
  <c r="E95" i="9"/>
  <c r="E96" i="9"/>
  <c r="E97" i="9"/>
  <c r="E98" i="9"/>
  <c r="E99" i="9"/>
  <c r="E100" i="9"/>
  <c r="E101" i="9"/>
  <c r="E103" i="9"/>
  <c r="E107" i="9"/>
  <c r="E108" i="9"/>
  <c r="E109" i="9"/>
  <c r="E110" i="9"/>
  <c r="E111" i="9"/>
  <c r="E112" i="9"/>
  <c r="E113" i="9"/>
  <c r="E114" i="9"/>
  <c r="E117" i="9"/>
  <c r="E118" i="9"/>
  <c r="E119" i="9"/>
  <c r="E120" i="9"/>
  <c r="E121" i="9"/>
  <c r="E122" i="9"/>
  <c r="E123" i="9"/>
  <c r="E124" i="9"/>
  <c r="E126" i="9"/>
  <c r="E127" i="9"/>
  <c r="E128" i="9"/>
  <c r="E129" i="9"/>
  <c r="E88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37" i="9"/>
  <c r="E25" i="9"/>
  <c r="E27" i="9"/>
  <c r="E28" i="9"/>
  <c r="E29" i="9"/>
  <c r="E30" i="9"/>
  <c r="E31" i="9"/>
  <c r="E32" i="9"/>
  <c r="E19" i="15"/>
  <c r="E18" i="15"/>
  <c r="B50" i="12"/>
  <c r="B47" i="12"/>
  <c r="H6" i="2"/>
  <c r="H8" i="2"/>
  <c r="H9" i="2"/>
  <c r="H18" i="2"/>
  <c r="H26" i="2"/>
  <c r="H27" i="2"/>
  <c r="H28" i="2"/>
  <c r="H29" i="2"/>
  <c r="H30" i="2"/>
  <c r="H31" i="2"/>
  <c r="D21" i="5" s="1"/>
  <c r="H32" i="2"/>
  <c r="H33" i="2"/>
  <c r="D23" i="5" s="1"/>
  <c r="H34" i="2"/>
  <c r="H35" i="2"/>
  <c r="H36" i="2"/>
  <c r="H37" i="2"/>
  <c r="H38" i="2"/>
  <c r="H39" i="2"/>
  <c r="H40" i="2"/>
  <c r="H41" i="2"/>
  <c r="H42" i="2"/>
  <c r="H43" i="2"/>
  <c r="H44" i="2"/>
  <c r="D39" i="5"/>
  <c r="C39" i="5" s="1"/>
  <c r="B39" i="5" s="1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3" i="2"/>
  <c r="H74" i="2"/>
  <c r="H75" i="2"/>
  <c r="H76" i="2"/>
  <c r="H77" i="2"/>
  <c r="H78" i="2"/>
  <c r="H90" i="2"/>
  <c r="C79" i="9" l="1"/>
  <c r="C23" i="5"/>
  <c r="B23" i="5" s="1"/>
  <c r="C58" i="9"/>
  <c r="C21" i="5"/>
  <c r="B21" i="5" s="1"/>
  <c r="B86" i="12"/>
  <c r="B8" i="13"/>
  <c r="A8" i="13"/>
  <c r="E17" i="15"/>
  <c r="B9" i="11" s="1"/>
  <c r="D17" i="15"/>
  <c r="E13" i="15"/>
  <c r="E12" i="15"/>
  <c r="E11" i="15"/>
  <c r="E10" i="15"/>
  <c r="D5" i="15"/>
  <c r="D6" i="15" s="1"/>
  <c r="D8" i="15" s="1"/>
  <c r="D10" i="15" s="1"/>
  <c r="D11" i="15" s="1"/>
  <c r="D13" i="15" s="1"/>
  <c r="B9" i="13" l="1"/>
  <c r="B10" i="13" s="1"/>
  <c r="E33" i="15"/>
  <c r="A41" i="12"/>
  <c r="C82" i="8" l="1"/>
  <c r="D15" i="2" l="1"/>
  <c r="D16" i="2"/>
  <c r="H16" i="2" s="1"/>
  <c r="D17" i="2"/>
  <c r="H17" i="2" s="1"/>
  <c r="D87" i="2"/>
  <c r="H87" i="2" s="1"/>
  <c r="D88" i="2"/>
  <c r="H88" i="2" s="1"/>
  <c r="H15" i="2" l="1"/>
  <c r="B14" i="12" s="1"/>
  <c r="C93" i="8"/>
  <c r="B14" i="14"/>
  <c r="B93" i="12"/>
  <c r="C117" i="8"/>
  <c r="B15" i="12"/>
  <c r="B13" i="14"/>
  <c r="B92" i="12"/>
  <c r="D84" i="5"/>
  <c r="C84" i="5" s="1"/>
  <c r="B84" i="5" s="1"/>
  <c r="C118" i="8"/>
  <c r="B16" i="12"/>
  <c r="C92" i="8"/>
  <c r="C134" i="9" l="1"/>
  <c r="B16" i="11"/>
  <c r="C6" i="10"/>
  <c r="G89" i="9" l="1"/>
  <c r="G95" i="9"/>
  <c r="G96" i="9"/>
  <c r="G114" i="9"/>
  <c r="G117" i="9"/>
  <c r="G118" i="9"/>
  <c r="G119" i="9"/>
  <c r="G121" i="9"/>
  <c r="G122" i="9"/>
  <c r="G42" i="9"/>
  <c r="G43" i="9"/>
  <c r="G44" i="9"/>
  <c r="G48" i="9"/>
  <c r="G51" i="9"/>
  <c r="G56" i="9"/>
  <c r="G57" i="9"/>
  <c r="G71" i="9"/>
  <c r="G72" i="9"/>
  <c r="G73" i="9"/>
  <c r="G75" i="9"/>
  <c r="G76" i="9"/>
  <c r="G77" i="9"/>
  <c r="G29" i="9"/>
  <c r="G30" i="9"/>
  <c r="G31" i="9"/>
  <c r="G32" i="9"/>
  <c r="D21" i="2"/>
  <c r="D86" i="2"/>
  <c r="H86" i="2" s="1"/>
  <c r="D85" i="2"/>
  <c r="D72" i="2"/>
  <c r="H72" i="2" s="1"/>
  <c r="D84" i="2"/>
  <c r="H84" i="2" s="1"/>
  <c r="D83" i="2"/>
  <c r="H83" i="2" s="1"/>
  <c r="C141" i="9"/>
  <c r="B9" i="10"/>
  <c r="G98" i="9"/>
  <c r="G100" i="9"/>
  <c r="G101" i="9"/>
  <c r="G103" i="9"/>
  <c r="G110" i="9"/>
  <c r="G111" i="9"/>
  <c r="G112" i="9"/>
  <c r="G123" i="9"/>
  <c r="G126" i="9"/>
  <c r="G127" i="9"/>
  <c r="G128" i="9"/>
  <c r="G129" i="9"/>
  <c r="G38" i="9"/>
  <c r="G39" i="9"/>
  <c r="G45" i="9"/>
  <c r="G46" i="9"/>
  <c r="G58" i="9"/>
  <c r="G60" i="9"/>
  <c r="G61" i="9"/>
  <c r="G62" i="9"/>
  <c r="G63" i="9"/>
  <c r="G64" i="9"/>
  <c r="G66" i="9"/>
  <c r="G67" i="9"/>
  <c r="G68" i="9"/>
  <c r="G69" i="9"/>
  <c r="G79" i="9"/>
  <c r="G80" i="9"/>
  <c r="G81" i="9"/>
  <c r="G82" i="9"/>
  <c r="G37" i="9"/>
  <c r="G25" i="9"/>
  <c r="G28" i="9"/>
  <c r="X170" i="9"/>
  <c r="U170" i="9"/>
  <c r="R170" i="9"/>
  <c r="O170" i="9"/>
  <c r="L170" i="9"/>
  <c r="I170" i="9"/>
  <c r="X169" i="9"/>
  <c r="U169" i="9"/>
  <c r="R169" i="9"/>
  <c r="O169" i="9"/>
  <c r="L169" i="9"/>
  <c r="I169" i="9"/>
  <c r="X168" i="9"/>
  <c r="U168" i="9"/>
  <c r="R168" i="9"/>
  <c r="O168" i="9"/>
  <c r="L168" i="9"/>
  <c r="I168" i="9"/>
  <c r="AI166" i="9"/>
  <c r="AG166" i="9"/>
  <c r="AE166" i="9"/>
  <c r="AC166" i="9"/>
  <c r="AA166" i="9"/>
  <c r="X165" i="9"/>
  <c r="X166" i="9" s="1"/>
  <c r="U165" i="9"/>
  <c r="U166" i="9" s="1"/>
  <c r="R165" i="9"/>
  <c r="R166" i="9" s="1"/>
  <c r="O165" i="9"/>
  <c r="O166" i="9" s="1"/>
  <c r="L165" i="9"/>
  <c r="L166" i="9" s="1"/>
  <c r="I165" i="9"/>
  <c r="I166" i="9" s="1"/>
  <c r="X164" i="9"/>
  <c r="U164" i="9"/>
  <c r="R164" i="9"/>
  <c r="O164" i="9"/>
  <c r="L164" i="9"/>
  <c r="I164" i="9"/>
  <c r="X161" i="9"/>
  <c r="X162" i="9" s="1"/>
  <c r="U161" i="9"/>
  <c r="U162" i="9" s="1"/>
  <c r="R161" i="9"/>
  <c r="R162" i="9" s="1"/>
  <c r="O161" i="9"/>
  <c r="O162" i="9" s="1"/>
  <c r="L161" i="9"/>
  <c r="L162" i="9" s="1"/>
  <c r="X160" i="9"/>
  <c r="U160" i="9"/>
  <c r="R160" i="9"/>
  <c r="O160" i="9"/>
  <c r="L160" i="9"/>
  <c r="I160" i="9"/>
  <c r="I161" i="9" s="1"/>
  <c r="I162" i="9" s="1"/>
  <c r="AI159" i="9"/>
  <c r="AG159" i="9"/>
  <c r="AE159" i="9"/>
  <c r="AC159" i="9"/>
  <c r="AA159" i="9"/>
  <c r="I157" i="9"/>
  <c r="I156" i="9"/>
  <c r="X155" i="9"/>
  <c r="U155" i="9"/>
  <c r="R155" i="9"/>
  <c r="O155" i="9"/>
  <c r="L155" i="9"/>
  <c r="X154" i="9"/>
  <c r="U154" i="9"/>
  <c r="R154" i="9"/>
  <c r="O154" i="9"/>
  <c r="L154" i="9"/>
  <c r="I154" i="9"/>
  <c r="AK153" i="9"/>
  <c r="AJ153" i="9"/>
  <c r="AI153" i="9"/>
  <c r="AH153" i="9"/>
  <c r="AG153" i="9"/>
  <c r="AF153" i="9"/>
  <c r="AE153" i="9"/>
  <c r="AD153" i="9"/>
  <c r="AC153" i="9"/>
  <c r="AB153" i="9"/>
  <c r="AA153" i="9"/>
  <c r="R153" i="9"/>
  <c r="O153" i="9"/>
  <c r="L153" i="9"/>
  <c r="I153" i="9"/>
  <c r="R152" i="9"/>
  <c r="O152" i="9"/>
  <c r="L152" i="9"/>
  <c r="I152" i="9"/>
  <c r="L146" i="9"/>
  <c r="O146" i="9" s="1"/>
  <c r="R146" i="9" s="1"/>
  <c r="X142" i="9"/>
  <c r="U142" i="9"/>
  <c r="R142" i="9"/>
  <c r="O142" i="9"/>
  <c r="L142" i="9"/>
  <c r="I142" i="9"/>
  <c r="E142" i="9" s="1"/>
  <c r="X141" i="9"/>
  <c r="U141" i="9"/>
  <c r="R141" i="9"/>
  <c r="O141" i="9"/>
  <c r="L141" i="9"/>
  <c r="I141" i="9"/>
  <c r="E141" i="9" s="1"/>
  <c r="AI134" i="9"/>
  <c r="AG134" i="9"/>
  <c r="AE134" i="9"/>
  <c r="AC134" i="9"/>
  <c r="AA134" i="9"/>
  <c r="R134" i="9"/>
  <c r="O134" i="9"/>
  <c r="L134" i="9"/>
  <c r="I134" i="9"/>
  <c r="E134" i="9" s="1"/>
  <c r="Y132" i="9"/>
  <c r="X132" i="9" s="1"/>
  <c r="AA132" i="9" s="1"/>
  <c r="V132" i="9"/>
  <c r="U132" i="9" s="1"/>
  <c r="S132" i="9"/>
  <c r="R132" i="9" s="1"/>
  <c r="P132" i="9"/>
  <c r="O132" i="9" s="1"/>
  <c r="M132" i="9"/>
  <c r="L132" i="9"/>
  <c r="I132" i="9"/>
  <c r="AI130" i="9"/>
  <c r="AG130" i="9"/>
  <c r="AE130" i="9"/>
  <c r="AC130" i="9"/>
  <c r="AA130" i="9"/>
  <c r="O129" i="9"/>
  <c r="M129" i="9"/>
  <c r="L129" i="9"/>
  <c r="J129" i="9"/>
  <c r="L128" i="9"/>
  <c r="O128" i="9" s="1"/>
  <c r="J128" i="9"/>
  <c r="L127" i="9"/>
  <c r="J127" i="9"/>
  <c r="I125" i="9"/>
  <c r="L124" i="9"/>
  <c r="J124" i="9"/>
  <c r="L123" i="9"/>
  <c r="O123" i="9" s="1"/>
  <c r="J123" i="9"/>
  <c r="L122" i="9"/>
  <c r="M122" i="9" s="1"/>
  <c r="J122" i="9"/>
  <c r="L121" i="9"/>
  <c r="J121" i="9"/>
  <c r="L120" i="9"/>
  <c r="M120" i="9" s="1"/>
  <c r="J120" i="9"/>
  <c r="L119" i="9"/>
  <c r="O119" i="9" s="1"/>
  <c r="J119" i="9"/>
  <c r="L117" i="9"/>
  <c r="M117" i="9" s="1"/>
  <c r="J117" i="9"/>
  <c r="M116" i="9"/>
  <c r="L114" i="9"/>
  <c r="M114" i="9" s="1"/>
  <c r="J114" i="9"/>
  <c r="L113" i="9"/>
  <c r="O113" i="9" s="1"/>
  <c r="J113" i="9"/>
  <c r="L111" i="9"/>
  <c r="J111" i="9"/>
  <c r="O110" i="9"/>
  <c r="M110" i="9"/>
  <c r="L110" i="9"/>
  <c r="J110" i="9"/>
  <c r="L109" i="9"/>
  <c r="J109" i="9"/>
  <c r="L108" i="9"/>
  <c r="J108" i="9"/>
  <c r="J107" i="9"/>
  <c r="I107" i="9"/>
  <c r="L107" i="9" s="1"/>
  <c r="I106" i="9"/>
  <c r="I105" i="9"/>
  <c r="E105" i="9" s="1"/>
  <c r="I104" i="9"/>
  <c r="L103" i="9"/>
  <c r="M103" i="9" s="1"/>
  <c r="J103" i="9"/>
  <c r="O101" i="9"/>
  <c r="L101" i="9"/>
  <c r="M101" i="9" s="1"/>
  <c r="J101" i="9"/>
  <c r="L100" i="9"/>
  <c r="O100" i="9" s="1"/>
  <c r="J100" i="9"/>
  <c r="L99" i="9"/>
  <c r="O99" i="9" s="1"/>
  <c r="P99" i="9" s="1"/>
  <c r="P97" i="9"/>
  <c r="L97" i="9"/>
  <c r="O97" i="9" s="1"/>
  <c r="J97" i="9"/>
  <c r="L96" i="9"/>
  <c r="M96" i="9" s="1"/>
  <c r="J96" i="9"/>
  <c r="L95" i="9"/>
  <c r="M95" i="9" s="1"/>
  <c r="J95" i="9"/>
  <c r="L94" i="9"/>
  <c r="J94" i="9"/>
  <c r="L93" i="9"/>
  <c r="J93" i="9"/>
  <c r="L92" i="9"/>
  <c r="J92" i="9"/>
  <c r="L91" i="9"/>
  <c r="O91" i="9" s="1"/>
  <c r="J91" i="9"/>
  <c r="L90" i="9"/>
  <c r="J90" i="9"/>
  <c r="M88" i="9"/>
  <c r="L88" i="9"/>
  <c r="O88" i="9" s="1"/>
  <c r="J88" i="9"/>
  <c r="I83" i="9"/>
  <c r="J83" i="9" s="1"/>
  <c r="O82" i="9"/>
  <c r="P82" i="9" s="1"/>
  <c r="M82" i="9"/>
  <c r="L82" i="9"/>
  <c r="J82" i="9"/>
  <c r="L81" i="9"/>
  <c r="O81" i="9" s="1"/>
  <c r="R81" i="9" s="1"/>
  <c r="S81" i="9" s="1"/>
  <c r="J81" i="9"/>
  <c r="O80" i="9"/>
  <c r="P80" i="9" s="1"/>
  <c r="L80" i="9"/>
  <c r="M80" i="9" s="1"/>
  <c r="J80" i="9"/>
  <c r="L79" i="9"/>
  <c r="J79" i="9"/>
  <c r="L78" i="9"/>
  <c r="O78" i="9" s="1"/>
  <c r="R78" i="9" s="1"/>
  <c r="J78" i="9"/>
  <c r="L77" i="9"/>
  <c r="J77" i="9"/>
  <c r="R76" i="9"/>
  <c r="L76" i="9"/>
  <c r="O76" i="9" s="1"/>
  <c r="P76" i="9" s="1"/>
  <c r="J76" i="9"/>
  <c r="L75" i="9"/>
  <c r="J75" i="9"/>
  <c r="L74" i="9"/>
  <c r="J74" i="9"/>
  <c r="L73" i="9"/>
  <c r="O73" i="9" s="1"/>
  <c r="R73" i="9" s="1"/>
  <c r="J73" i="9"/>
  <c r="L72" i="9"/>
  <c r="O72" i="9" s="1"/>
  <c r="R72" i="9" s="1"/>
  <c r="S72" i="9" s="1"/>
  <c r="J72" i="9"/>
  <c r="L71" i="9"/>
  <c r="M71" i="9" s="1"/>
  <c r="J71" i="9"/>
  <c r="O70" i="9"/>
  <c r="R70" i="9" s="1"/>
  <c r="L70" i="9"/>
  <c r="M70" i="9" s="1"/>
  <c r="J70" i="9"/>
  <c r="L69" i="9"/>
  <c r="J69" i="9"/>
  <c r="O68" i="9"/>
  <c r="L68" i="9"/>
  <c r="M68" i="9" s="1"/>
  <c r="J68" i="9"/>
  <c r="L67" i="9"/>
  <c r="O67" i="9" s="1"/>
  <c r="J67" i="9"/>
  <c r="R66" i="9"/>
  <c r="S66" i="9" s="1"/>
  <c r="P66" i="9"/>
  <c r="M66" i="9"/>
  <c r="J66" i="9"/>
  <c r="R65" i="9"/>
  <c r="P65" i="9"/>
  <c r="M65" i="9"/>
  <c r="J65" i="9"/>
  <c r="L64" i="9"/>
  <c r="O64" i="9" s="1"/>
  <c r="R64" i="9" s="1"/>
  <c r="J64" i="9"/>
  <c r="L63" i="9"/>
  <c r="O63" i="9" s="1"/>
  <c r="P63" i="9" s="1"/>
  <c r="J63" i="9"/>
  <c r="L62" i="9"/>
  <c r="J62" i="9"/>
  <c r="L61" i="9"/>
  <c r="J61" i="9"/>
  <c r="L60" i="9"/>
  <c r="J60" i="9"/>
  <c r="L59" i="9"/>
  <c r="M59" i="9" s="1"/>
  <c r="J59" i="9"/>
  <c r="L58" i="9"/>
  <c r="M58" i="9" s="1"/>
  <c r="J58" i="9"/>
  <c r="L57" i="9"/>
  <c r="O57" i="9" s="1"/>
  <c r="J57" i="9"/>
  <c r="L56" i="9"/>
  <c r="J56" i="9"/>
  <c r="L55" i="9"/>
  <c r="M55" i="9" s="1"/>
  <c r="J55" i="9"/>
  <c r="L54" i="9"/>
  <c r="O54" i="9" s="1"/>
  <c r="J54" i="9"/>
  <c r="L53" i="9"/>
  <c r="O53" i="9" s="1"/>
  <c r="P53" i="9" s="1"/>
  <c r="J53" i="9"/>
  <c r="L52" i="9"/>
  <c r="J52" i="9"/>
  <c r="L51" i="9"/>
  <c r="M51" i="9" s="1"/>
  <c r="J51" i="9"/>
  <c r="L50" i="9"/>
  <c r="J50" i="9"/>
  <c r="L49" i="9"/>
  <c r="J49" i="9"/>
  <c r="L48" i="9"/>
  <c r="O48" i="9" s="1"/>
  <c r="R48" i="9" s="1"/>
  <c r="J48" i="9"/>
  <c r="L47" i="9"/>
  <c r="O47" i="9" s="1"/>
  <c r="J47" i="9"/>
  <c r="L46" i="9"/>
  <c r="O46" i="9" s="1"/>
  <c r="J46" i="9"/>
  <c r="L45" i="9"/>
  <c r="M45" i="9" s="1"/>
  <c r="J45" i="9"/>
  <c r="L44" i="9"/>
  <c r="J44" i="9"/>
  <c r="L43" i="9"/>
  <c r="J43" i="9"/>
  <c r="L42" i="9"/>
  <c r="O42" i="9" s="1"/>
  <c r="J42" i="9"/>
  <c r="L41" i="9"/>
  <c r="O41" i="9" s="1"/>
  <c r="J41" i="9"/>
  <c r="L40" i="9"/>
  <c r="O40" i="9" s="1"/>
  <c r="J40" i="9"/>
  <c r="L39" i="9"/>
  <c r="J39" i="9"/>
  <c r="O38" i="9"/>
  <c r="R38" i="9" s="1"/>
  <c r="L38" i="9"/>
  <c r="M38" i="9" s="1"/>
  <c r="J38" i="9"/>
  <c r="L37" i="9"/>
  <c r="O37" i="9" s="1"/>
  <c r="J37" i="9"/>
  <c r="Y32" i="9"/>
  <c r="V32" i="9"/>
  <c r="S32" i="9"/>
  <c r="P32" i="9"/>
  <c r="M32" i="9"/>
  <c r="J32" i="9"/>
  <c r="Y31" i="9"/>
  <c r="V31" i="9"/>
  <c r="S31" i="9"/>
  <c r="P31" i="9"/>
  <c r="M31" i="9"/>
  <c r="J31" i="9"/>
  <c r="Y30" i="9"/>
  <c r="V30" i="9"/>
  <c r="S30" i="9"/>
  <c r="P30" i="9"/>
  <c r="M30" i="9"/>
  <c r="J30" i="9"/>
  <c r="Y29" i="9"/>
  <c r="V29" i="9"/>
  <c r="S29" i="9"/>
  <c r="P29" i="9"/>
  <c r="M29" i="9"/>
  <c r="J29" i="9"/>
  <c r="Y28" i="9"/>
  <c r="V28" i="9"/>
  <c r="S28" i="9"/>
  <c r="L28" i="9"/>
  <c r="O28" i="9" s="1"/>
  <c r="J28" i="9"/>
  <c r="U27" i="9"/>
  <c r="X27" i="9" s="1"/>
  <c r="S27" i="9"/>
  <c r="P27" i="9"/>
  <c r="M27" i="9"/>
  <c r="J27" i="9"/>
  <c r="O25" i="9"/>
  <c r="R25" i="9" s="1"/>
  <c r="M25" i="9"/>
  <c r="L25" i="9"/>
  <c r="J25" i="9"/>
  <c r="L19" i="9"/>
  <c r="I19" i="9"/>
  <c r="E19" i="9" s="1"/>
  <c r="B12" i="9"/>
  <c r="B134" i="8"/>
  <c r="C101" i="8"/>
  <c r="C96" i="8"/>
  <c r="C81" i="8"/>
  <c r="C80" i="8"/>
  <c r="C79" i="8"/>
  <c r="C63" i="8"/>
  <c r="C58" i="8"/>
  <c r="C50" i="8"/>
  <c r="C45" i="8"/>
  <c r="C44" i="8"/>
  <c r="C41" i="8"/>
  <c r="C35" i="8"/>
  <c r="C30" i="8"/>
  <c r="C29" i="8"/>
  <c r="C11" i="8"/>
  <c r="D119" i="6"/>
  <c r="D89" i="2"/>
  <c r="H89" i="2" s="1"/>
  <c r="D81" i="2"/>
  <c r="H81" i="2" s="1"/>
  <c r="D82" i="2"/>
  <c r="H82" i="2" s="1"/>
  <c r="D80" i="2"/>
  <c r="H80" i="2" s="1"/>
  <c r="D79" i="2"/>
  <c r="H79" i="2" s="1"/>
  <c r="D24" i="2"/>
  <c r="H24" i="2" s="1"/>
  <c r="D23" i="2"/>
  <c r="D25" i="2"/>
  <c r="H25" i="2" s="1"/>
  <c r="D22" i="2"/>
  <c r="H22" i="2" s="1"/>
  <c r="D20" i="2"/>
  <c r="H20" i="2" s="1"/>
  <c r="D71" i="2"/>
  <c r="H71" i="2" s="1"/>
  <c r="H21" i="2" l="1"/>
  <c r="B24" i="12" s="1"/>
  <c r="L104" i="9"/>
  <c r="M104" i="9" s="1"/>
  <c r="E104" i="9"/>
  <c r="G104" i="9" s="1"/>
  <c r="E132" i="9"/>
  <c r="F132" i="9" s="1"/>
  <c r="J125" i="9"/>
  <c r="E125" i="9"/>
  <c r="E106" i="9"/>
  <c r="G106" i="9" s="1"/>
  <c r="G141" i="9"/>
  <c r="D78" i="5"/>
  <c r="B73" i="12"/>
  <c r="C83" i="8"/>
  <c r="B4" i="14"/>
  <c r="C95" i="8"/>
  <c r="B16" i="14"/>
  <c r="B95" i="12"/>
  <c r="D80" i="5"/>
  <c r="B75" i="12"/>
  <c r="C87" i="8"/>
  <c r="B8" i="14"/>
  <c r="B83" i="12"/>
  <c r="C86" i="8"/>
  <c r="B7" i="14"/>
  <c r="B82" i="12"/>
  <c r="C85" i="8"/>
  <c r="B6" i="14"/>
  <c r="B81" i="12"/>
  <c r="B9" i="14"/>
  <c r="B84" i="12"/>
  <c r="C89" i="8"/>
  <c r="B10" i="14"/>
  <c r="B85" i="12"/>
  <c r="D79" i="5"/>
  <c r="B74" i="12"/>
  <c r="C94" i="8"/>
  <c r="B15" i="14"/>
  <c r="B94" i="12"/>
  <c r="C84" i="8"/>
  <c r="B5" i="14"/>
  <c r="B80" i="12"/>
  <c r="G132" i="9"/>
  <c r="I20" i="9"/>
  <c r="E20" i="9" s="1"/>
  <c r="M40" i="9"/>
  <c r="O96" i="9"/>
  <c r="O104" i="9"/>
  <c r="P104" i="9" s="1"/>
  <c r="O122" i="9"/>
  <c r="R122" i="9" s="1"/>
  <c r="M47" i="9"/>
  <c r="M73" i="9"/>
  <c r="M123" i="9"/>
  <c r="M41" i="9"/>
  <c r="P73" i="9"/>
  <c r="R99" i="9"/>
  <c r="S99" i="9" s="1"/>
  <c r="O45" i="9"/>
  <c r="R45" i="9" s="1"/>
  <c r="P48" i="9"/>
  <c r="M64" i="9"/>
  <c r="M81" i="9"/>
  <c r="P81" i="9"/>
  <c r="M100" i="9"/>
  <c r="M119" i="9"/>
  <c r="R113" i="9"/>
  <c r="U113" i="9" s="1"/>
  <c r="V113" i="9" s="1"/>
  <c r="P113" i="9"/>
  <c r="P91" i="9"/>
  <c r="R91" i="9"/>
  <c r="U91" i="9" s="1"/>
  <c r="P119" i="9"/>
  <c r="R119" i="9"/>
  <c r="U119" i="9" s="1"/>
  <c r="R128" i="9"/>
  <c r="U128" i="9" s="1"/>
  <c r="P128" i="9"/>
  <c r="M28" i="9"/>
  <c r="M54" i="9"/>
  <c r="O59" i="9"/>
  <c r="P64" i="9"/>
  <c r="P72" i="9"/>
  <c r="M91" i="9"/>
  <c r="O114" i="9"/>
  <c r="R114" i="9" s="1"/>
  <c r="U81" i="9"/>
  <c r="V81" i="9" s="1"/>
  <c r="M97" i="9"/>
  <c r="O103" i="9"/>
  <c r="P103" i="9" s="1"/>
  <c r="E83" i="9"/>
  <c r="M78" i="9"/>
  <c r="P122" i="9"/>
  <c r="M128" i="9"/>
  <c r="P38" i="9"/>
  <c r="M99" i="9"/>
  <c r="J104" i="9"/>
  <c r="P25" i="9"/>
  <c r="M57" i="9"/>
  <c r="P70" i="9"/>
  <c r="M113" i="9"/>
  <c r="M72" i="9"/>
  <c r="M46" i="9"/>
  <c r="O58" i="9"/>
  <c r="P58" i="9" s="1"/>
  <c r="M67" i="9"/>
  <c r="O120" i="9"/>
  <c r="R120" i="9" s="1"/>
  <c r="L125" i="9"/>
  <c r="G107" i="9"/>
  <c r="C88" i="8"/>
  <c r="C142" i="9"/>
  <c r="G142" i="9" s="1"/>
  <c r="D19" i="2"/>
  <c r="H19" i="2" s="1"/>
  <c r="G134" i="9"/>
  <c r="M19" i="9"/>
  <c r="L20" i="9"/>
  <c r="O19" i="9"/>
  <c r="U70" i="9"/>
  <c r="S70" i="9"/>
  <c r="L106" i="9"/>
  <c r="M108" i="9"/>
  <c r="O108" i="9"/>
  <c r="M52" i="9"/>
  <c r="P41" i="9"/>
  <c r="R67" i="9"/>
  <c r="P67" i="9"/>
  <c r="O39" i="9"/>
  <c r="M39" i="9"/>
  <c r="R41" i="9"/>
  <c r="O52" i="9"/>
  <c r="R63" i="9"/>
  <c r="M77" i="9"/>
  <c r="O109" i="9"/>
  <c r="P68" i="9"/>
  <c r="R68" i="9"/>
  <c r="U25" i="9"/>
  <c r="S25" i="9"/>
  <c r="P47" i="9"/>
  <c r="R47" i="9"/>
  <c r="O55" i="9"/>
  <c r="M43" i="9"/>
  <c r="O43" i="9"/>
  <c r="O77" i="9"/>
  <c r="R80" i="9"/>
  <c r="M109" i="9"/>
  <c r="R54" i="9"/>
  <c r="R96" i="9"/>
  <c r="P96" i="9"/>
  <c r="P28" i="9"/>
  <c r="R46" i="9"/>
  <c r="P46" i="9"/>
  <c r="P54" i="9"/>
  <c r="M56" i="9"/>
  <c r="O56" i="9"/>
  <c r="L83" i="9"/>
  <c r="L105" i="9"/>
  <c r="R110" i="9"/>
  <c r="P110" i="9"/>
  <c r="R40" i="9"/>
  <c r="P40" i="9"/>
  <c r="M60" i="9"/>
  <c r="O60" i="9"/>
  <c r="M107" i="9"/>
  <c r="O107" i="9"/>
  <c r="P120" i="9"/>
  <c r="V27" i="9"/>
  <c r="M37" i="9"/>
  <c r="U38" i="9"/>
  <c r="O61" i="9"/>
  <c r="M61" i="9"/>
  <c r="S76" i="9"/>
  <c r="R101" i="9"/>
  <c r="P101" i="9"/>
  <c r="U122" i="9"/>
  <c r="S122" i="9"/>
  <c r="P42" i="9"/>
  <c r="U76" i="9"/>
  <c r="Y27" i="9"/>
  <c r="P37" i="9"/>
  <c r="M42" i="9"/>
  <c r="R58" i="9"/>
  <c r="M63" i="9"/>
  <c r="M74" i="9"/>
  <c r="O92" i="9"/>
  <c r="O121" i="9"/>
  <c r="O127" i="9"/>
  <c r="M127" i="9"/>
  <c r="R57" i="9"/>
  <c r="P57" i="9"/>
  <c r="S38" i="9"/>
  <c r="O69" i="9"/>
  <c r="M69" i="9"/>
  <c r="O71" i="9"/>
  <c r="O74" i="9"/>
  <c r="M75" i="9"/>
  <c r="O75" i="9"/>
  <c r="U78" i="9"/>
  <c r="S78" i="9"/>
  <c r="R88" i="9"/>
  <c r="P88" i="9"/>
  <c r="M92" i="9"/>
  <c r="O94" i="9"/>
  <c r="M94" i="9"/>
  <c r="M121" i="9"/>
  <c r="U48" i="9"/>
  <c r="S48" i="9"/>
  <c r="M62" i="9"/>
  <c r="O62" i="9"/>
  <c r="J19" i="9"/>
  <c r="R37" i="9"/>
  <c r="R42" i="9"/>
  <c r="X81" i="9"/>
  <c r="U73" i="9"/>
  <c r="S73" i="9"/>
  <c r="U64" i="9"/>
  <c r="S64" i="9"/>
  <c r="O50" i="9"/>
  <c r="M50" i="9"/>
  <c r="S65" i="9"/>
  <c r="U66" i="9"/>
  <c r="O79" i="9"/>
  <c r="M44" i="9"/>
  <c r="M49" i="9"/>
  <c r="O49" i="9"/>
  <c r="U65" i="9"/>
  <c r="M79" i="9"/>
  <c r="O90" i="9"/>
  <c r="M90" i="9"/>
  <c r="O44" i="9"/>
  <c r="O51" i="9"/>
  <c r="R53" i="9"/>
  <c r="M76" i="9"/>
  <c r="R82" i="9"/>
  <c r="AC132" i="9"/>
  <c r="P78" i="9"/>
  <c r="O117" i="9"/>
  <c r="R129" i="9"/>
  <c r="P129" i="9"/>
  <c r="U72" i="9"/>
  <c r="X113" i="9"/>
  <c r="M48" i="9"/>
  <c r="M53" i="9"/>
  <c r="O95" i="9"/>
  <c r="O111" i="9"/>
  <c r="M111" i="9"/>
  <c r="R100" i="9"/>
  <c r="P100" i="9"/>
  <c r="R97" i="9"/>
  <c r="P114" i="9"/>
  <c r="R123" i="9"/>
  <c r="P123" i="9"/>
  <c r="M93" i="9"/>
  <c r="O93" i="9"/>
  <c r="O124" i="9"/>
  <c r="M124" i="9"/>
  <c r="C69" i="8" l="1"/>
  <c r="C78" i="5"/>
  <c r="C71" i="8"/>
  <c r="C80" i="5"/>
  <c r="B80" i="5" s="1"/>
  <c r="C99" i="9"/>
  <c r="G99" i="9" s="1"/>
  <c r="C79" i="5"/>
  <c r="B79" i="5" s="1"/>
  <c r="R104" i="9"/>
  <c r="I21" i="9"/>
  <c r="I16" i="9" s="1"/>
  <c r="C88" i="9"/>
  <c r="G88" i="9" s="1"/>
  <c r="C70" i="8"/>
  <c r="C115" i="9"/>
  <c r="I115" i="9" s="1"/>
  <c r="C91" i="8"/>
  <c r="B12" i="14"/>
  <c r="B91" i="12"/>
  <c r="S119" i="9"/>
  <c r="P45" i="9"/>
  <c r="U99" i="9"/>
  <c r="S128" i="9"/>
  <c r="S91" i="9"/>
  <c r="S113" i="9"/>
  <c r="R103" i="9"/>
  <c r="S103" i="9" s="1"/>
  <c r="J20" i="9"/>
  <c r="R59" i="9"/>
  <c r="P59" i="9"/>
  <c r="O125" i="9"/>
  <c r="M125" i="9"/>
  <c r="M20" i="9"/>
  <c r="S41" i="9"/>
  <c r="U41" i="9"/>
  <c r="U104" i="9"/>
  <c r="S104" i="9"/>
  <c r="U37" i="9"/>
  <c r="S37" i="9"/>
  <c r="U47" i="9"/>
  <c r="S47" i="9"/>
  <c r="U97" i="9"/>
  <c r="S97" i="9"/>
  <c r="R39" i="9"/>
  <c r="P39" i="9"/>
  <c r="V91" i="9"/>
  <c r="X91" i="9"/>
  <c r="X122" i="9"/>
  <c r="V122" i="9"/>
  <c r="R90" i="9"/>
  <c r="P90" i="9"/>
  <c r="R62" i="9"/>
  <c r="P62" i="9"/>
  <c r="X78" i="9"/>
  <c r="V78" i="9"/>
  <c r="U58" i="9"/>
  <c r="S58" i="9"/>
  <c r="U110" i="9"/>
  <c r="S110" i="9"/>
  <c r="U54" i="9"/>
  <c r="S54" i="9"/>
  <c r="V25" i="9"/>
  <c r="X25" i="9"/>
  <c r="P95" i="9"/>
  <c r="R95" i="9"/>
  <c r="Y81" i="9"/>
  <c r="R107" i="9"/>
  <c r="P107" i="9"/>
  <c r="R108" i="9"/>
  <c r="P108" i="9"/>
  <c r="AE132" i="9"/>
  <c r="R75" i="9"/>
  <c r="P75" i="9"/>
  <c r="U57" i="9"/>
  <c r="S57" i="9"/>
  <c r="V38" i="9"/>
  <c r="X38" i="9"/>
  <c r="O105" i="9"/>
  <c r="M105" i="9"/>
  <c r="U68" i="9"/>
  <c r="S68" i="9"/>
  <c r="U67" i="9"/>
  <c r="S67" i="9"/>
  <c r="P94" i="9"/>
  <c r="R94" i="9"/>
  <c r="P44" i="9"/>
  <c r="R44" i="9"/>
  <c r="X73" i="9"/>
  <c r="V73" i="9"/>
  <c r="U120" i="9"/>
  <c r="S120" i="9"/>
  <c r="S45" i="9"/>
  <c r="U45" i="9"/>
  <c r="U123" i="9"/>
  <c r="S123" i="9"/>
  <c r="U42" i="9"/>
  <c r="S42" i="9"/>
  <c r="O83" i="9"/>
  <c r="P55" i="9"/>
  <c r="R55" i="9"/>
  <c r="U114" i="9"/>
  <c r="S114" i="9"/>
  <c r="R61" i="9"/>
  <c r="P61" i="9"/>
  <c r="U96" i="9"/>
  <c r="S96" i="9"/>
  <c r="Y113" i="9"/>
  <c r="U100" i="9"/>
  <c r="S100" i="9"/>
  <c r="V65" i="9"/>
  <c r="X65" i="9"/>
  <c r="P74" i="9"/>
  <c r="R74" i="9"/>
  <c r="M83" i="9"/>
  <c r="P109" i="9"/>
  <c r="R109" i="9"/>
  <c r="O106" i="9"/>
  <c r="M106" i="9"/>
  <c r="R52" i="9"/>
  <c r="P52" i="9"/>
  <c r="P117" i="9"/>
  <c r="R117" i="9"/>
  <c r="L21" i="9"/>
  <c r="V64" i="9"/>
  <c r="X64" i="9"/>
  <c r="X99" i="9"/>
  <c r="V99" i="9"/>
  <c r="P124" i="9"/>
  <c r="R124" i="9"/>
  <c r="U82" i="9"/>
  <c r="S82" i="9"/>
  <c r="X66" i="9"/>
  <c r="V66" i="9"/>
  <c r="P71" i="9"/>
  <c r="R71" i="9"/>
  <c r="R127" i="9"/>
  <c r="P127" i="9"/>
  <c r="U101" i="9"/>
  <c r="S101" i="9"/>
  <c r="R60" i="9"/>
  <c r="P60" i="9"/>
  <c r="R56" i="9"/>
  <c r="P56" i="9"/>
  <c r="S80" i="9"/>
  <c r="U80" i="9"/>
  <c r="S88" i="9"/>
  <c r="U88" i="9"/>
  <c r="J21" i="9"/>
  <c r="I23" i="9"/>
  <c r="I26" i="9"/>
  <c r="R79" i="9"/>
  <c r="P79" i="9"/>
  <c r="X72" i="9"/>
  <c r="V72" i="9"/>
  <c r="V48" i="9"/>
  <c r="X48" i="9"/>
  <c r="P77" i="9"/>
  <c r="R77" i="9"/>
  <c r="P93" i="9"/>
  <c r="R93" i="9"/>
  <c r="R121" i="9"/>
  <c r="P121" i="9"/>
  <c r="U53" i="9"/>
  <c r="S53" i="9"/>
  <c r="R50" i="9"/>
  <c r="P50" i="9"/>
  <c r="X119" i="9"/>
  <c r="V119" i="9"/>
  <c r="P69" i="9"/>
  <c r="R69" i="9"/>
  <c r="X128" i="9"/>
  <c r="V128" i="9"/>
  <c r="V70" i="9"/>
  <c r="X70" i="9"/>
  <c r="R111" i="9"/>
  <c r="P111" i="9"/>
  <c r="S129" i="9"/>
  <c r="U129" i="9"/>
  <c r="R51" i="9"/>
  <c r="P51" i="9"/>
  <c r="P49" i="9"/>
  <c r="R49" i="9"/>
  <c r="P92" i="9"/>
  <c r="R92" i="9"/>
  <c r="V76" i="9"/>
  <c r="X76" i="9"/>
  <c r="S40" i="9"/>
  <c r="U40" i="9"/>
  <c r="U46" i="9"/>
  <c r="S46" i="9"/>
  <c r="P43" i="9"/>
  <c r="R43" i="9"/>
  <c r="S63" i="9"/>
  <c r="U63" i="9"/>
  <c r="O20" i="9"/>
  <c r="R19" i="9"/>
  <c r="P19" i="9"/>
  <c r="I24" i="9" l="1"/>
  <c r="B78" i="5"/>
  <c r="L115" i="9"/>
  <c r="M115" i="9" s="1"/>
  <c r="E115" i="9"/>
  <c r="E24" i="9"/>
  <c r="G24" i="9" s="1"/>
  <c r="E26" i="9"/>
  <c r="G26" i="9" s="1"/>
  <c r="E23" i="9"/>
  <c r="G23" i="9" s="1"/>
  <c r="O115" i="9"/>
  <c r="R115" i="9" s="1"/>
  <c r="G20" i="9"/>
  <c r="E21" i="9"/>
  <c r="J115" i="9"/>
  <c r="U103" i="9"/>
  <c r="X103" i="9" s="1"/>
  <c r="G115" i="9"/>
  <c r="I116" i="9"/>
  <c r="R83" i="9"/>
  <c r="S83" i="9" s="1"/>
  <c r="E33" i="9"/>
  <c r="P125" i="9"/>
  <c r="R125" i="9"/>
  <c r="U59" i="9"/>
  <c r="S59" i="9"/>
  <c r="U56" i="9"/>
  <c r="S56" i="9"/>
  <c r="X97" i="9"/>
  <c r="V97" i="9"/>
  <c r="V63" i="9"/>
  <c r="X63" i="9"/>
  <c r="J23" i="9"/>
  <c r="I33" i="9"/>
  <c r="V82" i="9"/>
  <c r="X82" i="9"/>
  <c r="U52" i="9"/>
  <c r="S52" i="9"/>
  <c r="P83" i="9"/>
  <c r="R105" i="9"/>
  <c r="P105" i="9"/>
  <c r="S49" i="9"/>
  <c r="U49" i="9"/>
  <c r="X53" i="9"/>
  <c r="V53" i="9"/>
  <c r="S60" i="9"/>
  <c r="U60" i="9"/>
  <c r="U124" i="9"/>
  <c r="S124" i="9"/>
  <c r="X100" i="9"/>
  <c r="V100" i="9"/>
  <c r="S108" i="9"/>
  <c r="U108" i="9"/>
  <c r="X47" i="9"/>
  <c r="V47" i="9"/>
  <c r="S92" i="9"/>
  <c r="U92" i="9"/>
  <c r="V68" i="9"/>
  <c r="X68" i="9"/>
  <c r="U90" i="9"/>
  <c r="S90" i="9"/>
  <c r="S43" i="9"/>
  <c r="U43" i="9"/>
  <c r="V101" i="9"/>
  <c r="X101" i="9"/>
  <c r="R106" i="9"/>
  <c r="P106" i="9"/>
  <c r="V42" i="9"/>
  <c r="X42" i="9"/>
  <c r="Y48" i="9"/>
  <c r="AG132" i="9"/>
  <c r="Y38" i="9"/>
  <c r="X110" i="9"/>
  <c r="V110" i="9"/>
  <c r="U121" i="9"/>
  <c r="S121" i="9"/>
  <c r="Y72" i="9"/>
  <c r="AA72" i="9"/>
  <c r="U109" i="9"/>
  <c r="S109" i="9"/>
  <c r="U44" i="9"/>
  <c r="S44" i="9"/>
  <c r="V37" i="9"/>
  <c r="X37" i="9"/>
  <c r="Y128" i="9"/>
  <c r="V96" i="9"/>
  <c r="X96" i="9"/>
  <c r="V103" i="9"/>
  <c r="U107" i="9"/>
  <c r="S107" i="9"/>
  <c r="Y122" i="9"/>
  <c r="Y73" i="9"/>
  <c r="AA73" i="9"/>
  <c r="X46" i="9"/>
  <c r="V46" i="9"/>
  <c r="S51" i="9"/>
  <c r="U51" i="9"/>
  <c r="U69" i="9"/>
  <c r="S69" i="9"/>
  <c r="X88" i="9"/>
  <c r="V88" i="9"/>
  <c r="Y99" i="9"/>
  <c r="V123" i="9"/>
  <c r="X123" i="9"/>
  <c r="S94" i="9"/>
  <c r="U94" i="9"/>
  <c r="Y91" i="9"/>
  <c r="V129" i="9"/>
  <c r="X129" i="9"/>
  <c r="S93" i="9"/>
  <c r="U93" i="9"/>
  <c r="U127" i="9"/>
  <c r="S127" i="9"/>
  <c r="AA64" i="9"/>
  <c r="Y64" i="9"/>
  <c r="X45" i="9"/>
  <c r="V45" i="9"/>
  <c r="AA70" i="9"/>
  <c r="Y70" i="9"/>
  <c r="U50" i="9"/>
  <c r="S50" i="9"/>
  <c r="J26" i="9"/>
  <c r="V104" i="9"/>
  <c r="X104" i="9"/>
  <c r="S71" i="9"/>
  <c r="U71" i="9"/>
  <c r="S61" i="9"/>
  <c r="U61" i="9"/>
  <c r="U95" i="9"/>
  <c r="S95" i="9"/>
  <c r="X58" i="9"/>
  <c r="V58" i="9"/>
  <c r="V40" i="9"/>
  <c r="X40" i="9"/>
  <c r="U79" i="9"/>
  <c r="S79" i="9"/>
  <c r="X80" i="9"/>
  <c r="V80" i="9"/>
  <c r="M16" i="9"/>
  <c r="M17" i="9" s="1"/>
  <c r="L24" i="9"/>
  <c r="L26" i="9"/>
  <c r="L23" i="9"/>
  <c r="M21" i="9"/>
  <c r="U74" i="9"/>
  <c r="S74" i="9"/>
  <c r="V57" i="9"/>
  <c r="X57" i="9"/>
  <c r="X41" i="9"/>
  <c r="V41" i="9"/>
  <c r="U62" i="9"/>
  <c r="S62" i="9"/>
  <c r="U19" i="9"/>
  <c r="S19" i="9"/>
  <c r="R20" i="9"/>
  <c r="R21" i="9" s="1"/>
  <c r="U111" i="9"/>
  <c r="S111" i="9"/>
  <c r="Y119" i="9"/>
  <c r="S39" i="9"/>
  <c r="U39" i="9"/>
  <c r="P20" i="9"/>
  <c r="U77" i="9"/>
  <c r="S77" i="9"/>
  <c r="Y66" i="9"/>
  <c r="AA66" i="9"/>
  <c r="AA65" i="9"/>
  <c r="Y65" i="9"/>
  <c r="X114" i="9"/>
  <c r="V114" i="9"/>
  <c r="V120" i="9"/>
  <c r="X120" i="9"/>
  <c r="S75" i="9"/>
  <c r="U75" i="9"/>
  <c r="Y78" i="9"/>
  <c r="X54" i="9"/>
  <c r="V54" i="9"/>
  <c r="Y76" i="9"/>
  <c r="J24" i="9"/>
  <c r="U117" i="9"/>
  <c r="S117" i="9"/>
  <c r="X67" i="9"/>
  <c r="V67" i="9"/>
  <c r="Y25" i="9"/>
  <c r="O21" i="9"/>
  <c r="S55" i="9"/>
  <c r="U55" i="9"/>
  <c r="P115" i="9" l="1"/>
  <c r="J116" i="9"/>
  <c r="E116" i="9"/>
  <c r="G116" i="9" s="1"/>
  <c r="O116" i="9"/>
  <c r="U125" i="9"/>
  <c r="S125" i="9"/>
  <c r="E34" i="9"/>
  <c r="X59" i="9"/>
  <c r="Y59" i="9" s="1"/>
  <c r="V59" i="9"/>
  <c r="P116" i="9"/>
  <c r="R116" i="9"/>
  <c r="R26" i="9"/>
  <c r="R23" i="9"/>
  <c r="R24" i="9"/>
  <c r="S16" i="9"/>
  <c r="X107" i="9"/>
  <c r="V107" i="9"/>
  <c r="X44" i="9"/>
  <c r="V44" i="9"/>
  <c r="AC64" i="9"/>
  <c r="Y47" i="9"/>
  <c r="Y53" i="9"/>
  <c r="AA53" i="9"/>
  <c r="J33" i="9"/>
  <c r="I34" i="9"/>
  <c r="Y45" i="9"/>
  <c r="V79" i="9"/>
  <c r="X79" i="9"/>
  <c r="Y40" i="9"/>
  <c r="X94" i="9"/>
  <c r="V94" i="9"/>
  <c r="X43" i="9"/>
  <c r="V43" i="9"/>
  <c r="X49" i="9"/>
  <c r="V49" i="9"/>
  <c r="Y41" i="9"/>
  <c r="X111" i="9"/>
  <c r="V111" i="9"/>
  <c r="Y96" i="9"/>
  <c r="V109" i="9"/>
  <c r="X109" i="9"/>
  <c r="X108" i="9"/>
  <c r="V108" i="9"/>
  <c r="Y63" i="9"/>
  <c r="AA63" i="9"/>
  <c r="Y104" i="9"/>
  <c r="AC65" i="9"/>
  <c r="V55" i="9"/>
  <c r="X55" i="9"/>
  <c r="AC66" i="9"/>
  <c r="X74" i="9"/>
  <c r="V74" i="9"/>
  <c r="V71" i="9"/>
  <c r="X71" i="9"/>
  <c r="Y54" i="9"/>
  <c r="AA54" i="9"/>
  <c r="X127" i="9"/>
  <c r="V127" i="9"/>
  <c r="Y123" i="9"/>
  <c r="Y46" i="9"/>
  <c r="AC72" i="9"/>
  <c r="V90" i="9"/>
  <c r="X90" i="9"/>
  <c r="Y82" i="9"/>
  <c r="X69" i="9"/>
  <c r="V69" i="9"/>
  <c r="Y114" i="9"/>
  <c r="Y103" i="9"/>
  <c r="Y42" i="9"/>
  <c r="Y58" i="9"/>
  <c r="AA58" i="9"/>
  <c r="AC73" i="9"/>
  <c r="U20" i="9"/>
  <c r="U21" i="9" s="1"/>
  <c r="X19" i="9"/>
  <c r="V19" i="9"/>
  <c r="Y97" i="9"/>
  <c r="Y100" i="9"/>
  <c r="V75" i="9"/>
  <c r="X75" i="9"/>
  <c r="V50" i="9"/>
  <c r="X50" i="9"/>
  <c r="X121" i="9"/>
  <c r="V121" i="9"/>
  <c r="U106" i="9"/>
  <c r="S106" i="9"/>
  <c r="U115" i="9"/>
  <c r="S115" i="9"/>
  <c r="O23" i="9"/>
  <c r="P16" i="9"/>
  <c r="P17" i="9" s="1"/>
  <c r="O26" i="9"/>
  <c r="O24" i="9"/>
  <c r="P21" i="9"/>
  <c r="L33" i="9"/>
  <c r="M23" i="9"/>
  <c r="X77" i="9"/>
  <c r="V77" i="9"/>
  <c r="M26" i="9"/>
  <c r="X95" i="9"/>
  <c r="V95" i="9"/>
  <c r="V93" i="9"/>
  <c r="X93" i="9"/>
  <c r="X62" i="9"/>
  <c r="V62" i="9"/>
  <c r="M24" i="9"/>
  <c r="Y37" i="9"/>
  <c r="V124" i="9"/>
  <c r="X124" i="9"/>
  <c r="X56" i="9"/>
  <c r="V56" i="9"/>
  <c r="Y120" i="9"/>
  <c r="X61" i="9"/>
  <c r="V61" i="9"/>
  <c r="U83" i="9"/>
  <c r="Y101" i="9"/>
  <c r="Y129" i="9"/>
  <c r="Y110" i="9"/>
  <c r="X60" i="9"/>
  <c r="V60" i="9"/>
  <c r="V52" i="9"/>
  <c r="X52" i="9"/>
  <c r="Y80" i="9"/>
  <c r="AA57" i="9"/>
  <c r="Y57" i="9"/>
  <c r="AI132" i="9"/>
  <c r="X51" i="9"/>
  <c r="V51" i="9"/>
  <c r="S20" i="9"/>
  <c r="U105" i="9"/>
  <c r="S105" i="9"/>
  <c r="AA67" i="9"/>
  <c r="Y67" i="9"/>
  <c r="Y68" i="9"/>
  <c r="AA68" i="9"/>
  <c r="X39" i="9"/>
  <c r="V39" i="9"/>
  <c r="AC70" i="9"/>
  <c r="Y88" i="9"/>
  <c r="X117" i="9"/>
  <c r="V117" i="9"/>
  <c r="X92" i="9"/>
  <c r="V92" i="9"/>
  <c r="X83" i="9" l="1"/>
  <c r="E85" i="9"/>
  <c r="F34" i="9" s="1"/>
  <c r="V125" i="9"/>
  <c r="X125" i="9"/>
  <c r="Y125" i="9" s="1"/>
  <c r="U116" i="9"/>
  <c r="S116" i="9"/>
  <c r="Y83" i="9"/>
  <c r="AA83" i="9"/>
  <c r="AE64" i="9"/>
  <c r="V83" i="9"/>
  <c r="M33" i="9"/>
  <c r="L34" i="9"/>
  <c r="Y109" i="9"/>
  <c r="Y79" i="9"/>
  <c r="Y50" i="9"/>
  <c r="AA50" i="9"/>
  <c r="AC54" i="9"/>
  <c r="X106" i="9"/>
  <c r="V106" i="9"/>
  <c r="V16" i="9"/>
  <c r="V17" i="9" s="1"/>
  <c r="U26" i="9"/>
  <c r="U24" i="9"/>
  <c r="U23" i="9"/>
  <c r="Y44" i="9"/>
  <c r="AA61" i="9"/>
  <c r="Y61" i="9"/>
  <c r="AA62" i="9"/>
  <c r="Y62" i="9"/>
  <c r="P24" i="9"/>
  <c r="AA69" i="9"/>
  <c r="Y69" i="9"/>
  <c r="Y111" i="9"/>
  <c r="Y77" i="9"/>
  <c r="AE65" i="9"/>
  <c r="Y52" i="9"/>
  <c r="AA19" i="9"/>
  <c r="Y19" i="9"/>
  <c r="X20" i="9"/>
  <c r="V20" i="9"/>
  <c r="AC63" i="9"/>
  <c r="Y94" i="9"/>
  <c r="AA71" i="9"/>
  <c r="Y71" i="9"/>
  <c r="I85" i="9"/>
  <c r="K34" i="9" s="1"/>
  <c r="J34" i="9"/>
  <c r="Y55" i="9"/>
  <c r="P26" i="9"/>
  <c r="Y117" i="9"/>
  <c r="AE73" i="9"/>
  <c r="Y90" i="9"/>
  <c r="S17" i="9"/>
  <c r="Y39" i="9"/>
  <c r="AC68" i="9"/>
  <c r="Y127" i="9"/>
  <c r="Y93" i="9"/>
  <c r="P23" i="9"/>
  <c r="O33" i="9"/>
  <c r="Y56" i="9"/>
  <c r="Y95" i="9"/>
  <c r="AC58" i="9"/>
  <c r="AA49" i="9"/>
  <c r="Y49" i="9"/>
  <c r="S24" i="9"/>
  <c r="Y121" i="9"/>
  <c r="AC67" i="9"/>
  <c r="Y107" i="9"/>
  <c r="Y75" i="9"/>
  <c r="AA60" i="9"/>
  <c r="Y60" i="9"/>
  <c r="Y74" i="9"/>
  <c r="AA74" i="9"/>
  <c r="Y108" i="9"/>
  <c r="R33" i="9"/>
  <c r="S23" i="9"/>
  <c r="Y92" i="9"/>
  <c r="X105" i="9"/>
  <c r="V105" i="9"/>
  <c r="Y124" i="9"/>
  <c r="AE70" i="9"/>
  <c r="AE72" i="9"/>
  <c r="Y43" i="9"/>
  <c r="AC53" i="9"/>
  <c r="S26" i="9"/>
  <c r="AC57" i="9"/>
  <c r="Y51" i="9"/>
  <c r="V115" i="9"/>
  <c r="X115" i="9"/>
  <c r="AE66" i="9"/>
  <c r="F91" i="9" l="1"/>
  <c r="F47" i="9"/>
  <c r="F101" i="9"/>
  <c r="F42" i="9"/>
  <c r="F97" i="9"/>
  <c r="F127" i="9"/>
  <c r="F103" i="9"/>
  <c r="F72" i="9"/>
  <c r="F29" i="9"/>
  <c r="F45" i="9"/>
  <c r="F65" i="9"/>
  <c r="F119" i="9"/>
  <c r="F28" i="9"/>
  <c r="F111" i="9"/>
  <c r="F43" i="9"/>
  <c r="F32" i="9"/>
  <c r="F69" i="9"/>
  <c r="F37" i="9"/>
  <c r="F57" i="9"/>
  <c r="F59" i="9"/>
  <c r="F70" i="9"/>
  <c r="F113" i="9"/>
  <c r="F77" i="9"/>
  <c r="F40" i="9"/>
  <c r="F25" i="9"/>
  <c r="F82" i="9"/>
  <c r="F96" i="9"/>
  <c r="F30" i="9"/>
  <c r="F74" i="9"/>
  <c r="F31" i="9"/>
  <c r="F100" i="9"/>
  <c r="F120" i="9"/>
  <c r="F52" i="9"/>
  <c r="F121" i="9"/>
  <c r="F95" i="9"/>
  <c r="F61" i="9"/>
  <c r="F50" i="9"/>
  <c r="F78" i="9"/>
  <c r="F79" i="9"/>
  <c r="F99" i="9"/>
  <c r="F92" i="9"/>
  <c r="F54" i="9"/>
  <c r="F21" i="9"/>
  <c r="F129" i="9"/>
  <c r="F56" i="9"/>
  <c r="F67" i="9"/>
  <c r="F66" i="9"/>
  <c r="F71" i="9"/>
  <c r="F41" i="9"/>
  <c r="F68" i="9"/>
  <c r="F109" i="9"/>
  <c r="F80" i="9"/>
  <c r="F110" i="9"/>
  <c r="F51" i="9"/>
  <c r="F60" i="9"/>
  <c r="F105" i="9"/>
  <c r="F122" i="9"/>
  <c r="F53" i="9"/>
  <c r="F63" i="9"/>
  <c r="F19" i="9"/>
  <c r="F20" i="9"/>
  <c r="F88" i="9"/>
  <c r="F83" i="9"/>
  <c r="F46" i="9"/>
  <c r="F64" i="9"/>
  <c r="F85" i="9"/>
  <c r="F49" i="9"/>
  <c r="F124" i="9"/>
  <c r="F128" i="9"/>
  <c r="F125" i="9"/>
  <c r="F117" i="9"/>
  <c r="F123" i="9"/>
  <c r="F106" i="9"/>
  <c r="F114" i="9"/>
  <c r="F55" i="9"/>
  <c r="F27" i="9"/>
  <c r="F73" i="9"/>
  <c r="F44" i="9"/>
  <c r="F58" i="9"/>
  <c r="F90" i="9"/>
  <c r="F48" i="9"/>
  <c r="F94" i="9"/>
  <c r="F108" i="9"/>
  <c r="F38" i="9"/>
  <c r="F62" i="9"/>
  <c r="F93" i="9"/>
  <c r="F39" i="9"/>
  <c r="F107" i="9"/>
  <c r="F75" i="9"/>
  <c r="F81" i="9"/>
  <c r="F104" i="9"/>
  <c r="F76" i="9"/>
  <c r="F26" i="9"/>
  <c r="F23" i="9"/>
  <c r="F115" i="9"/>
  <c r="F24" i="9"/>
  <c r="F33" i="9"/>
  <c r="F116" i="9"/>
  <c r="V116" i="9"/>
  <c r="X116" i="9"/>
  <c r="Y116" i="9" s="1"/>
  <c r="U33" i="9"/>
  <c r="V23" i="9"/>
  <c r="AE58" i="9"/>
  <c r="P33" i="9"/>
  <c r="O34" i="9"/>
  <c r="AE63" i="9"/>
  <c r="V24" i="9"/>
  <c r="AC60" i="9"/>
  <c r="V26" i="9"/>
  <c r="M34" i="9"/>
  <c r="L85" i="9"/>
  <c r="N34" i="9"/>
  <c r="Y105" i="9"/>
  <c r="AC50" i="9"/>
  <c r="AG73" i="9"/>
  <c r="AC61" i="9"/>
  <c r="S33" i="9"/>
  <c r="R34" i="9"/>
  <c r="AG65" i="9"/>
  <c r="AE53" i="9"/>
  <c r="Y20" i="9"/>
  <c r="X21" i="9"/>
  <c r="Y106" i="9"/>
  <c r="AG64" i="9"/>
  <c r="AC71" i="9"/>
  <c r="AC69" i="9"/>
  <c r="AC74" i="9"/>
  <c r="AG66" i="9"/>
  <c r="AE68" i="9"/>
  <c r="AC62" i="9"/>
  <c r="AC83" i="9"/>
  <c r="AE57" i="9"/>
  <c r="AE67" i="9"/>
  <c r="Y115" i="9"/>
  <c r="AG72" i="9"/>
  <c r="AC19" i="9"/>
  <c r="AA55" i="9"/>
  <c r="AA52" i="9"/>
  <c r="AA16" i="9"/>
  <c r="AA20" i="9"/>
  <c r="AA56" i="9" s="1"/>
  <c r="AE54" i="9"/>
  <c r="AG70" i="9"/>
  <c r="AC49" i="9"/>
  <c r="K117" i="9"/>
  <c r="K111" i="9"/>
  <c r="K110" i="9"/>
  <c r="K125" i="9"/>
  <c r="K120" i="9"/>
  <c r="K114" i="9"/>
  <c r="K103" i="9"/>
  <c r="K80" i="9"/>
  <c r="K70" i="9"/>
  <c r="K96" i="9"/>
  <c r="K97" i="9"/>
  <c r="K90" i="9"/>
  <c r="K76" i="9"/>
  <c r="K61" i="9"/>
  <c r="K59" i="9"/>
  <c r="K122" i="9"/>
  <c r="K85" i="9"/>
  <c r="K79" i="9"/>
  <c r="K67" i="9"/>
  <c r="K109" i="9"/>
  <c r="K100" i="9"/>
  <c r="J85" i="9"/>
  <c r="K113" i="9"/>
  <c r="K104" i="9"/>
  <c r="K88" i="9"/>
  <c r="K66" i="9"/>
  <c r="K52" i="9"/>
  <c r="K108" i="9"/>
  <c r="K74" i="9"/>
  <c r="K68" i="9"/>
  <c r="K56" i="9"/>
  <c r="K51" i="9"/>
  <c r="K129" i="9"/>
  <c r="K99" i="9"/>
  <c r="K78" i="9"/>
  <c r="K95" i="9"/>
  <c r="K72" i="9"/>
  <c r="K47" i="9"/>
  <c r="K46" i="9"/>
  <c r="K32" i="9"/>
  <c r="K37" i="9"/>
  <c r="K30" i="9"/>
  <c r="K94" i="9"/>
  <c r="K77" i="9"/>
  <c r="K60" i="9"/>
  <c r="K101" i="9"/>
  <c r="K81" i="9"/>
  <c r="K55" i="9"/>
  <c r="K38" i="9"/>
  <c r="K25" i="9"/>
  <c r="K54" i="9"/>
  <c r="K49" i="9"/>
  <c r="K128" i="9"/>
  <c r="K93" i="9"/>
  <c r="K82" i="9"/>
  <c r="K123" i="9"/>
  <c r="I102" i="9"/>
  <c r="E102" i="9" s="1"/>
  <c r="K83" i="9"/>
  <c r="K65" i="9"/>
  <c r="K121" i="9"/>
  <c r="K41" i="9"/>
  <c r="K29" i="9"/>
  <c r="K119" i="9"/>
  <c r="K75" i="9"/>
  <c r="K73" i="9"/>
  <c r="K71" i="9"/>
  <c r="K69" i="9"/>
  <c r="K64" i="9"/>
  <c r="K127" i="9"/>
  <c r="K92" i="9"/>
  <c r="K63" i="9"/>
  <c r="K62" i="9"/>
  <c r="K42" i="9"/>
  <c r="K124" i="9"/>
  <c r="K58" i="9"/>
  <c r="K31" i="9"/>
  <c r="K91" i="9"/>
  <c r="K27" i="9"/>
  <c r="K53" i="9"/>
  <c r="K40" i="9"/>
  <c r="K20" i="9"/>
  <c r="K19" i="9"/>
  <c r="K48" i="9"/>
  <c r="K39" i="9"/>
  <c r="K50" i="9"/>
  <c r="K28" i="9"/>
  <c r="K57" i="9"/>
  <c r="K43" i="9"/>
  <c r="K45" i="9"/>
  <c r="K44" i="9"/>
  <c r="K132" i="9"/>
  <c r="K116" i="9"/>
  <c r="K106" i="9"/>
  <c r="K115" i="9"/>
  <c r="K107" i="9"/>
  <c r="K105" i="9"/>
  <c r="K21" i="9"/>
  <c r="K24" i="9"/>
  <c r="K26" i="9"/>
  <c r="K23" i="9"/>
  <c r="K33" i="9"/>
  <c r="D13" i="5"/>
  <c r="C13" i="5" s="1"/>
  <c r="B13" i="5" s="1"/>
  <c r="D15" i="5"/>
  <c r="D19" i="5"/>
  <c r="C19" i="5" s="1"/>
  <c r="B19" i="5" s="1"/>
  <c r="D20" i="5"/>
  <c r="C20" i="5" s="1"/>
  <c r="B20" i="5" s="1"/>
  <c r="D22" i="5"/>
  <c r="C22" i="5" s="1"/>
  <c r="B22" i="5" s="1"/>
  <c r="D24" i="5"/>
  <c r="C24" i="5" s="1"/>
  <c r="B24" i="5" s="1"/>
  <c r="D25" i="5"/>
  <c r="C25" i="5" s="1"/>
  <c r="B25" i="5" s="1"/>
  <c r="D26" i="5"/>
  <c r="C26" i="5" s="1"/>
  <c r="B26" i="5" s="1"/>
  <c r="D27" i="5"/>
  <c r="C27" i="5" s="1"/>
  <c r="B27" i="5" s="1"/>
  <c r="D28" i="5"/>
  <c r="C28" i="5" s="1"/>
  <c r="B28" i="5" s="1"/>
  <c r="D29" i="5"/>
  <c r="C29" i="5" s="1"/>
  <c r="B29" i="5" s="1"/>
  <c r="D30" i="5"/>
  <c r="C30" i="5" s="1"/>
  <c r="B30" i="5" s="1"/>
  <c r="D32" i="5"/>
  <c r="C32" i="5" s="1"/>
  <c r="B32" i="5" s="1"/>
  <c r="D33" i="5"/>
  <c r="C33" i="5" s="1"/>
  <c r="B33" i="5" s="1"/>
  <c r="D34" i="5"/>
  <c r="C34" i="5" s="1"/>
  <c r="B34" i="5" s="1"/>
  <c r="D35" i="5"/>
  <c r="C35" i="5" s="1"/>
  <c r="B35" i="5" s="1"/>
  <c r="F23" i="2"/>
  <c r="H23" i="2" s="1"/>
  <c r="B92" i="2"/>
  <c r="B23" i="12"/>
  <c r="D12" i="2"/>
  <c r="D14" i="2"/>
  <c r="H14" i="2" s="1"/>
  <c r="D13" i="2"/>
  <c r="H13" i="2" s="1"/>
  <c r="D11" i="2"/>
  <c r="D10" i="2"/>
  <c r="D7" i="2"/>
  <c r="H12" i="2" l="1"/>
  <c r="B11" i="12" s="1"/>
  <c r="B9" i="12"/>
  <c r="H10" i="2"/>
  <c r="C27" i="9"/>
  <c r="G27" i="9" s="1"/>
  <c r="G33" i="9" s="1"/>
  <c r="C15" i="5"/>
  <c r="B15" i="5" s="1"/>
  <c r="H11" i="2"/>
  <c r="B10" i="12" s="1"/>
  <c r="D45" i="5"/>
  <c r="C45" i="5" s="1"/>
  <c r="B45" i="5" s="1"/>
  <c r="B53" i="12"/>
  <c r="D75" i="5"/>
  <c r="B71" i="12"/>
  <c r="D74" i="5"/>
  <c r="B70" i="12"/>
  <c r="D73" i="5"/>
  <c r="C73" i="5" s="1"/>
  <c r="B73" i="5" s="1"/>
  <c r="B69" i="12"/>
  <c r="D64" i="5"/>
  <c r="B64" i="12"/>
  <c r="D63" i="5"/>
  <c r="B63" i="12"/>
  <c r="D46" i="5"/>
  <c r="B54" i="12"/>
  <c r="D41" i="5"/>
  <c r="B51" i="12"/>
  <c r="D68" i="5"/>
  <c r="C68" i="5" s="1"/>
  <c r="B68" i="5" s="1"/>
  <c r="B66" i="12"/>
  <c r="D40" i="5"/>
  <c r="D65" i="5"/>
  <c r="B65" i="12"/>
  <c r="D61" i="5"/>
  <c r="B61" i="12"/>
  <c r="D47" i="5"/>
  <c r="B55" i="12"/>
  <c r="D70" i="5"/>
  <c r="B68" i="12"/>
  <c r="D43" i="5"/>
  <c r="B52" i="12"/>
  <c r="D69" i="5"/>
  <c r="C69" i="5" s="1"/>
  <c r="B69" i="5" s="1"/>
  <c r="B67" i="12"/>
  <c r="D51" i="5"/>
  <c r="B57" i="12"/>
  <c r="D62" i="5"/>
  <c r="B62" i="12"/>
  <c r="D60" i="5"/>
  <c r="B60" i="12"/>
  <c r="D57" i="5"/>
  <c r="B59" i="12"/>
  <c r="D55" i="5"/>
  <c r="B58" i="12"/>
  <c r="D76" i="5"/>
  <c r="B72" i="12"/>
  <c r="D48" i="5"/>
  <c r="B56" i="12"/>
  <c r="D18" i="5"/>
  <c r="B21" i="12"/>
  <c r="B22" i="12"/>
  <c r="C120" i="8"/>
  <c r="B25" i="12"/>
  <c r="B27" i="12" s="1"/>
  <c r="C125" i="8"/>
  <c r="B29" i="12"/>
  <c r="B12" i="12"/>
  <c r="C114" i="8"/>
  <c r="B13" i="12"/>
  <c r="C115" i="8"/>
  <c r="C119" i="8"/>
  <c r="F102" i="9"/>
  <c r="E130" i="9"/>
  <c r="C59" i="9"/>
  <c r="G59" i="9" s="1"/>
  <c r="C14" i="8"/>
  <c r="C41" i="9"/>
  <c r="G41" i="9" s="1"/>
  <c r="C13" i="8"/>
  <c r="C40" i="9"/>
  <c r="G40" i="9" s="1"/>
  <c r="C15" i="8"/>
  <c r="C9" i="8"/>
  <c r="C27" i="8"/>
  <c r="C55" i="9"/>
  <c r="G55" i="9" s="1"/>
  <c r="C8" i="8"/>
  <c r="C26" i="8"/>
  <c r="C78" i="9"/>
  <c r="G78" i="9" s="1"/>
  <c r="C53" i="9"/>
  <c r="G53" i="9" s="1"/>
  <c r="C25" i="8"/>
  <c r="C110" i="8"/>
  <c r="C109" i="8"/>
  <c r="C70" i="9"/>
  <c r="G70" i="9" s="1"/>
  <c r="C22" i="8"/>
  <c r="C47" i="9"/>
  <c r="G47" i="9" s="1"/>
  <c r="C24" i="8"/>
  <c r="C65" i="9"/>
  <c r="G65" i="9" s="1"/>
  <c r="C21" i="8"/>
  <c r="C52" i="9"/>
  <c r="G52" i="9" s="1"/>
  <c r="C20" i="8"/>
  <c r="C19" i="8"/>
  <c r="C54" i="9"/>
  <c r="G54" i="9" s="1"/>
  <c r="C49" i="9"/>
  <c r="G49" i="9" s="1"/>
  <c r="C18" i="8"/>
  <c r="C17" i="8"/>
  <c r="C50" i="9"/>
  <c r="G50" i="9" s="1"/>
  <c r="C16" i="8"/>
  <c r="C116" i="8"/>
  <c r="C111" i="8"/>
  <c r="C112" i="8"/>
  <c r="C113" i="8"/>
  <c r="AE60" i="9"/>
  <c r="AI65" i="9"/>
  <c r="AE74" i="9"/>
  <c r="AE69" i="9"/>
  <c r="AE49" i="9"/>
  <c r="AG67" i="9"/>
  <c r="AE71" i="9"/>
  <c r="AE61" i="9"/>
  <c r="AG63" i="9"/>
  <c r="AI66" i="9"/>
  <c r="AI72" i="9"/>
  <c r="AI70" i="9"/>
  <c r="AI64" i="9"/>
  <c r="AG57" i="9"/>
  <c r="AI73" i="9"/>
  <c r="O85" i="9"/>
  <c r="Q34" i="9"/>
  <c r="P34" i="9"/>
  <c r="AG54" i="9"/>
  <c r="AE83" i="9"/>
  <c r="AA85" i="9"/>
  <c r="AE50" i="9"/>
  <c r="R85" i="9"/>
  <c r="T34" i="9" s="1"/>
  <c r="S34" i="9"/>
  <c r="X24" i="9"/>
  <c r="X26" i="9"/>
  <c r="Y16" i="9"/>
  <c r="Y17" i="9" s="1"/>
  <c r="X23" i="9"/>
  <c r="AE62" i="9"/>
  <c r="AG58" i="9"/>
  <c r="K102" i="9"/>
  <c r="J102" i="9"/>
  <c r="I130" i="9"/>
  <c r="AG68" i="9"/>
  <c r="N116" i="9"/>
  <c r="N119" i="9"/>
  <c r="N113" i="9"/>
  <c r="N66" i="9"/>
  <c r="L102" i="9"/>
  <c r="N91" i="9"/>
  <c r="N54" i="9"/>
  <c r="N70" i="9"/>
  <c r="N64" i="9"/>
  <c r="N100" i="9"/>
  <c r="N68" i="9"/>
  <c r="N128" i="9"/>
  <c r="N85" i="9"/>
  <c r="N82" i="9"/>
  <c r="N125" i="9"/>
  <c r="N122" i="9"/>
  <c r="N93" i="9"/>
  <c r="N27" i="9"/>
  <c r="N99" i="9"/>
  <c r="N129" i="9"/>
  <c r="N123" i="9"/>
  <c r="N80" i="9"/>
  <c r="N75" i="9"/>
  <c r="N72" i="9"/>
  <c r="N69" i="9"/>
  <c r="N47" i="9"/>
  <c r="N30" i="9"/>
  <c r="M85" i="9"/>
  <c r="N59" i="9"/>
  <c r="N88" i="9"/>
  <c r="N78" i="9"/>
  <c r="N61" i="9"/>
  <c r="N58" i="9"/>
  <c r="N57" i="9"/>
  <c r="N48" i="9"/>
  <c r="N111" i="9"/>
  <c r="N103" i="9"/>
  <c r="N101" i="9"/>
  <c r="N97" i="9"/>
  <c r="N81" i="9"/>
  <c r="N38" i="9"/>
  <c r="N25" i="9"/>
  <c r="N56" i="9"/>
  <c r="N32" i="9"/>
  <c r="N46" i="9"/>
  <c r="N28" i="9"/>
  <c r="N96" i="9"/>
  <c r="N65" i="9"/>
  <c r="N29" i="9"/>
  <c r="N107" i="9"/>
  <c r="N40" i="9"/>
  <c r="N67" i="9"/>
  <c r="N41" i="9"/>
  <c r="N76" i="9"/>
  <c r="N31" i="9"/>
  <c r="N63" i="9"/>
  <c r="N43" i="9"/>
  <c r="N49" i="9"/>
  <c r="N77" i="9"/>
  <c r="N127" i="9"/>
  <c r="N50" i="9"/>
  <c r="N121" i="9"/>
  <c r="N71" i="9"/>
  <c r="N51" i="9"/>
  <c r="N62" i="9"/>
  <c r="N19" i="9"/>
  <c r="N94" i="9"/>
  <c r="N95" i="9"/>
  <c r="N92" i="9"/>
  <c r="N117" i="9"/>
  <c r="N109" i="9"/>
  <c r="N73" i="9"/>
  <c r="N110" i="9"/>
  <c r="N39" i="9"/>
  <c r="N55" i="9"/>
  <c r="N60" i="9"/>
  <c r="N37" i="9"/>
  <c r="N79" i="9"/>
  <c r="N90" i="9"/>
  <c r="N124" i="9"/>
  <c r="N52" i="9"/>
  <c r="N74" i="9"/>
  <c r="N44" i="9"/>
  <c r="N104" i="9"/>
  <c r="N132" i="9"/>
  <c r="N45" i="9"/>
  <c r="N108" i="9"/>
  <c r="N120" i="9"/>
  <c r="N53" i="9"/>
  <c r="N114" i="9"/>
  <c r="N42" i="9"/>
  <c r="N20" i="9"/>
  <c r="N83" i="9"/>
  <c r="N115" i="9"/>
  <c r="N105" i="9"/>
  <c r="N106" i="9"/>
  <c r="N21" i="9"/>
  <c r="N26" i="9"/>
  <c r="N23" i="9"/>
  <c r="N24" i="9"/>
  <c r="N33" i="9"/>
  <c r="AC52" i="9"/>
  <c r="AC20" i="9"/>
  <c r="AE19" i="9"/>
  <c r="AC16" i="9"/>
  <c r="AC17" i="9" s="1"/>
  <c r="AC55" i="9"/>
  <c r="AG53" i="9"/>
  <c r="V33" i="9"/>
  <c r="U34" i="9"/>
  <c r="H85" i="2"/>
  <c r="B46" i="12"/>
  <c r="D5" i="2"/>
  <c r="C59" i="8" l="1"/>
  <c r="C36" i="8"/>
  <c r="C94" i="9"/>
  <c r="G94" i="9" s="1"/>
  <c r="C56" i="8"/>
  <c r="C65" i="5"/>
  <c r="B65" i="5" s="1"/>
  <c r="D42" i="5"/>
  <c r="C40" i="5"/>
  <c r="B40" i="5" s="1"/>
  <c r="B42" i="5" s="1"/>
  <c r="C66" i="8"/>
  <c r="C75" i="5"/>
  <c r="B75" i="5" s="1"/>
  <c r="C53" i="8"/>
  <c r="C62" i="5"/>
  <c r="B62" i="5" s="1"/>
  <c r="C51" i="8"/>
  <c r="C60" i="5"/>
  <c r="B60" i="5" s="1"/>
  <c r="D52" i="5"/>
  <c r="C52" i="5" s="1"/>
  <c r="C51" i="5"/>
  <c r="B51" i="5" s="1"/>
  <c r="B52" i="5" s="1"/>
  <c r="C33" i="9"/>
  <c r="C32" i="8"/>
  <c r="C41" i="5"/>
  <c r="B41" i="5" s="1"/>
  <c r="D31" i="5"/>
  <c r="C18" i="5"/>
  <c r="B18" i="5" s="1"/>
  <c r="B31" i="5" s="1"/>
  <c r="C37" i="8"/>
  <c r="C46" i="5"/>
  <c r="B46" i="5" s="1"/>
  <c r="C39" i="8"/>
  <c r="C48" i="5"/>
  <c r="B48" i="5" s="1"/>
  <c r="B49" i="5" s="1"/>
  <c r="C34" i="8"/>
  <c r="C43" i="5"/>
  <c r="B43" i="5" s="1"/>
  <c r="C54" i="8"/>
  <c r="C63" i="5"/>
  <c r="B63" i="5" s="1"/>
  <c r="C55" i="8"/>
  <c r="C64" i="5"/>
  <c r="B64" i="5" s="1"/>
  <c r="D56" i="5"/>
  <c r="C56" i="5" s="1"/>
  <c r="C55" i="5"/>
  <c r="B55" i="5" s="1"/>
  <c r="B56" i="5" s="1"/>
  <c r="B58" i="5" s="1"/>
  <c r="C38" i="8"/>
  <c r="C47" i="5"/>
  <c r="B47" i="5" s="1"/>
  <c r="H7" i="2"/>
  <c r="B8" i="12" s="1"/>
  <c r="C61" i="8"/>
  <c r="C70" i="5"/>
  <c r="B70" i="5" s="1"/>
  <c r="B71" i="5" s="1"/>
  <c r="C31" i="8"/>
  <c r="C102" i="9"/>
  <c r="G102" i="9" s="1"/>
  <c r="C57" i="5"/>
  <c r="B57" i="5" s="1"/>
  <c r="C52" i="8"/>
  <c r="C61" i="5"/>
  <c r="B61" i="5" s="1"/>
  <c r="C67" i="8"/>
  <c r="C76" i="5"/>
  <c r="B76" i="5" s="1"/>
  <c r="C120" i="9"/>
  <c r="G120" i="9" s="1"/>
  <c r="C65" i="8"/>
  <c r="C74" i="5"/>
  <c r="B74" i="5" s="1"/>
  <c r="C109" i="9"/>
  <c r="G109" i="9" s="1"/>
  <c r="D71" i="5"/>
  <c r="C71" i="5" s="1"/>
  <c r="C42" i="8"/>
  <c r="C48" i="8"/>
  <c r="D77" i="5"/>
  <c r="C91" i="9"/>
  <c r="G91" i="9" s="1"/>
  <c r="D49" i="5"/>
  <c r="C97" i="9"/>
  <c r="G97" i="9" s="1"/>
  <c r="C64" i="8"/>
  <c r="C46" i="8"/>
  <c r="C108" i="9"/>
  <c r="G108" i="9" s="1"/>
  <c r="C74" i="9"/>
  <c r="G74" i="9" s="1"/>
  <c r="G83" i="9" s="1"/>
  <c r="D66" i="5"/>
  <c r="C113" i="9"/>
  <c r="G113" i="9" s="1"/>
  <c r="C12" i="8"/>
  <c r="B48" i="12"/>
  <c r="C93" i="9"/>
  <c r="G93" i="9" s="1"/>
  <c r="C124" i="9"/>
  <c r="G124" i="9" s="1"/>
  <c r="C60" i="8"/>
  <c r="C92" i="9"/>
  <c r="G92" i="9" s="1"/>
  <c r="B76" i="12"/>
  <c r="B11" i="14"/>
  <c r="B87" i="12"/>
  <c r="B88" i="12" s="1"/>
  <c r="AA17" i="9"/>
  <c r="B17" i="11"/>
  <c r="C90" i="8"/>
  <c r="AC56" i="9"/>
  <c r="AC85" i="9" s="1"/>
  <c r="F130" i="9"/>
  <c r="E131" i="9"/>
  <c r="C23" i="8"/>
  <c r="C126" i="8"/>
  <c r="C127" i="8" s="1"/>
  <c r="D12" i="5"/>
  <c r="C97" i="8"/>
  <c r="C98" i="8" s="1"/>
  <c r="Q99" i="9"/>
  <c r="P85" i="9"/>
  <c r="Q31" i="9"/>
  <c r="Q113" i="9"/>
  <c r="Q91" i="9"/>
  <c r="Q65" i="9"/>
  <c r="Q66" i="9"/>
  <c r="Q64" i="9"/>
  <c r="Q88" i="9"/>
  <c r="Q85" i="9"/>
  <c r="Q30" i="9"/>
  <c r="Q114" i="9"/>
  <c r="Q48" i="9"/>
  <c r="Q81" i="9"/>
  <c r="Q122" i="9"/>
  <c r="Q128" i="9"/>
  <c r="O102" i="9"/>
  <c r="Q119" i="9"/>
  <c r="Q70" i="9"/>
  <c r="Q59" i="9"/>
  <c r="Q46" i="9"/>
  <c r="Q100" i="9"/>
  <c r="Q73" i="9"/>
  <c r="Q29" i="9"/>
  <c r="Q76" i="9"/>
  <c r="Q27" i="9"/>
  <c r="Q32" i="9"/>
  <c r="Q40" i="9"/>
  <c r="Q129" i="9"/>
  <c r="Q25" i="9"/>
  <c r="Q78" i="9"/>
  <c r="Q68" i="9"/>
  <c r="Q41" i="9"/>
  <c r="Q53" i="9"/>
  <c r="Q125" i="9"/>
  <c r="Q80" i="9"/>
  <c r="Q38" i="9"/>
  <c r="Q63" i="9"/>
  <c r="Q28" i="9"/>
  <c r="Q123" i="9"/>
  <c r="Q57" i="9"/>
  <c r="Q101" i="9"/>
  <c r="Q72" i="9"/>
  <c r="Q110" i="9"/>
  <c r="Q37" i="9"/>
  <c r="Q96" i="9"/>
  <c r="Q45" i="9"/>
  <c r="Q120" i="9"/>
  <c r="Q58" i="9"/>
  <c r="Q82" i="9"/>
  <c r="Q54" i="9"/>
  <c r="Q97" i="9"/>
  <c r="Q104" i="9"/>
  <c r="Q42" i="9"/>
  <c r="Q103" i="9"/>
  <c r="Q132" i="9"/>
  <c r="Q67" i="9"/>
  <c r="Q47" i="9"/>
  <c r="Q75" i="9"/>
  <c r="Q117" i="9"/>
  <c r="Q56" i="9"/>
  <c r="Q77" i="9"/>
  <c r="Q50" i="9"/>
  <c r="Q111" i="9"/>
  <c r="Q92" i="9"/>
  <c r="Q39" i="9"/>
  <c r="Q19" i="9"/>
  <c r="Q79" i="9"/>
  <c r="Q62" i="9"/>
  <c r="Q74" i="9"/>
  <c r="Q93" i="9"/>
  <c r="Q95" i="9"/>
  <c r="Q94" i="9"/>
  <c r="Q61" i="9"/>
  <c r="Q71" i="9"/>
  <c r="Q69" i="9"/>
  <c r="Q109" i="9"/>
  <c r="Q127" i="9"/>
  <c r="Q43" i="9"/>
  <c r="Q60" i="9"/>
  <c r="Q107" i="9"/>
  <c r="Q51" i="9"/>
  <c r="Q44" i="9"/>
  <c r="Q124" i="9"/>
  <c r="Q121" i="9"/>
  <c r="Q49" i="9"/>
  <c r="Q108" i="9"/>
  <c r="Q55" i="9"/>
  <c r="Q52" i="9"/>
  <c r="Q116" i="9"/>
  <c r="Q90" i="9"/>
  <c r="Q20" i="9"/>
  <c r="Q106" i="9"/>
  <c r="Q83" i="9"/>
  <c r="Q105" i="9"/>
  <c r="Q115" i="9"/>
  <c r="Q21" i="9"/>
  <c r="Q23" i="9"/>
  <c r="Q24" i="9"/>
  <c r="Q26" i="9"/>
  <c r="Q33" i="9"/>
  <c r="AI68" i="9"/>
  <c r="Y26" i="9"/>
  <c r="K130" i="9"/>
  <c r="J130" i="9"/>
  <c r="I131" i="9"/>
  <c r="AI57" i="9"/>
  <c r="AI67" i="9"/>
  <c r="R102" i="9"/>
  <c r="T27" i="9"/>
  <c r="T29" i="9"/>
  <c r="T113" i="9"/>
  <c r="T28" i="9"/>
  <c r="T66" i="9"/>
  <c r="T78" i="9"/>
  <c r="T30" i="9"/>
  <c r="T85" i="9"/>
  <c r="T64" i="9"/>
  <c r="S85" i="9"/>
  <c r="T32" i="9"/>
  <c r="T31" i="9"/>
  <c r="T70" i="9"/>
  <c r="T65" i="9"/>
  <c r="T128" i="9"/>
  <c r="T119" i="9"/>
  <c r="T76" i="9"/>
  <c r="T81" i="9"/>
  <c r="T72" i="9"/>
  <c r="T25" i="9"/>
  <c r="T73" i="9"/>
  <c r="T59" i="9"/>
  <c r="T132" i="9"/>
  <c r="T99" i="9"/>
  <c r="T48" i="9"/>
  <c r="T38" i="9"/>
  <c r="T91" i="9"/>
  <c r="T122" i="9"/>
  <c r="T97" i="9"/>
  <c r="T68" i="9"/>
  <c r="T67" i="9"/>
  <c r="T120" i="9"/>
  <c r="T114" i="9"/>
  <c r="T129" i="9"/>
  <c r="T41" i="9"/>
  <c r="T57" i="9"/>
  <c r="T45" i="9"/>
  <c r="T80" i="9"/>
  <c r="T58" i="9"/>
  <c r="T40" i="9"/>
  <c r="T47" i="9"/>
  <c r="T104" i="9"/>
  <c r="T103" i="9"/>
  <c r="T46" i="9"/>
  <c r="T96" i="9"/>
  <c r="T123" i="9"/>
  <c r="T88" i="9"/>
  <c r="T125" i="9"/>
  <c r="T100" i="9"/>
  <c r="T53" i="9"/>
  <c r="T101" i="9"/>
  <c r="T42" i="9"/>
  <c r="T37" i="9"/>
  <c r="T110" i="9"/>
  <c r="T63" i="9"/>
  <c r="T82" i="9"/>
  <c r="T54" i="9"/>
  <c r="T61" i="9"/>
  <c r="T56" i="9"/>
  <c r="T69" i="9"/>
  <c r="T83" i="9"/>
  <c r="T52" i="9"/>
  <c r="T124" i="9"/>
  <c r="T93" i="9"/>
  <c r="T62" i="9"/>
  <c r="T92" i="9"/>
  <c r="T95" i="9"/>
  <c r="T75" i="9"/>
  <c r="T77" i="9"/>
  <c r="T117" i="9"/>
  <c r="T116" i="9"/>
  <c r="T90" i="9"/>
  <c r="T121" i="9"/>
  <c r="T50" i="9"/>
  <c r="T108" i="9"/>
  <c r="T19" i="9"/>
  <c r="T79" i="9"/>
  <c r="T60" i="9"/>
  <c r="T49" i="9"/>
  <c r="T127" i="9"/>
  <c r="T74" i="9"/>
  <c r="T55" i="9"/>
  <c r="T107" i="9"/>
  <c r="T51" i="9"/>
  <c r="T94" i="9"/>
  <c r="T111" i="9"/>
  <c r="T71" i="9"/>
  <c r="T44" i="9"/>
  <c r="T43" i="9"/>
  <c r="T109" i="9"/>
  <c r="T39" i="9"/>
  <c r="T115" i="9"/>
  <c r="T20" i="9"/>
  <c r="T106" i="9"/>
  <c r="T105" i="9"/>
  <c r="T21" i="9"/>
  <c r="T23" i="9"/>
  <c r="T24" i="9"/>
  <c r="T26" i="9"/>
  <c r="T33" i="9"/>
  <c r="AG49" i="9"/>
  <c r="AG50" i="9"/>
  <c r="AI58" i="9"/>
  <c r="AG69" i="9"/>
  <c r="AG61" i="9"/>
  <c r="AG71" i="9"/>
  <c r="AG62" i="9"/>
  <c r="AA131" i="9"/>
  <c r="AA169" i="9"/>
  <c r="AA170" i="9" s="1"/>
  <c r="AG74" i="9"/>
  <c r="Y24" i="9"/>
  <c r="AE55" i="9"/>
  <c r="AE20" i="9"/>
  <c r="AE52" i="9"/>
  <c r="AE16" i="9"/>
  <c r="AE17" i="9" s="1"/>
  <c r="AG19" i="9"/>
  <c r="N102" i="9"/>
  <c r="M102" i="9"/>
  <c r="L130" i="9"/>
  <c r="AG83" i="9"/>
  <c r="X33" i="9"/>
  <c r="Y23" i="9"/>
  <c r="AI53" i="9"/>
  <c r="AI54" i="9"/>
  <c r="U85" i="9"/>
  <c r="W34" i="9" s="1"/>
  <c r="V34" i="9"/>
  <c r="AI63" i="9"/>
  <c r="AG60" i="9"/>
  <c r="F92" i="2"/>
  <c r="D92" i="2"/>
  <c r="H5" i="2"/>
  <c r="B7" i="12" s="1"/>
  <c r="C42" i="5" l="1"/>
  <c r="B77" i="5"/>
  <c r="C43" i="8"/>
  <c r="C62" i="8"/>
  <c r="C108" i="8"/>
  <c r="C121" i="8" s="1"/>
  <c r="D58" i="5"/>
  <c r="C58" i="5" s="1"/>
  <c r="C105" i="9"/>
  <c r="G105" i="9" s="1"/>
  <c r="C66" i="5"/>
  <c r="B66" i="5"/>
  <c r="C40" i="8"/>
  <c r="C49" i="5"/>
  <c r="C19" i="9"/>
  <c r="C12" i="5"/>
  <c r="B12" i="5" s="1"/>
  <c r="B16" i="5" s="1"/>
  <c r="B36" i="5" s="1"/>
  <c r="B5" i="11"/>
  <c r="C31" i="5"/>
  <c r="C36" i="5" s="1"/>
  <c r="C125" i="9"/>
  <c r="G125" i="9" s="1"/>
  <c r="C77" i="5"/>
  <c r="C47" i="8"/>
  <c r="C33" i="8"/>
  <c r="C90" i="9"/>
  <c r="G90" i="9" s="1"/>
  <c r="C68" i="8"/>
  <c r="B78" i="12"/>
  <c r="B90" i="12" s="1"/>
  <c r="B96" i="12" s="1"/>
  <c r="B98" i="12" s="1"/>
  <c r="B30" i="12" s="1"/>
  <c r="B32" i="12" s="1"/>
  <c r="B33" i="12" s="1"/>
  <c r="C83" i="9"/>
  <c r="C57" i="8"/>
  <c r="B17" i="12"/>
  <c r="E133" i="9"/>
  <c r="E135" i="9" s="1"/>
  <c r="F131" i="9"/>
  <c r="C49" i="8"/>
  <c r="H92" i="2"/>
  <c r="C133" i="8"/>
  <c r="C100" i="8"/>
  <c r="C7" i="8"/>
  <c r="D16" i="5"/>
  <c r="AI60" i="9"/>
  <c r="AI49" i="9"/>
  <c r="I133" i="9"/>
  <c r="K131" i="9"/>
  <c r="J131" i="9"/>
  <c r="AI83" i="9"/>
  <c r="AA133" i="9"/>
  <c r="U102" i="9"/>
  <c r="V85" i="9"/>
  <c r="W85" i="9"/>
  <c r="W32" i="9"/>
  <c r="W28" i="9"/>
  <c r="W81" i="9"/>
  <c r="W132" i="9"/>
  <c r="W113" i="9"/>
  <c r="W27" i="9"/>
  <c r="W25" i="9"/>
  <c r="W65" i="9"/>
  <c r="W66" i="9"/>
  <c r="W70" i="9"/>
  <c r="W76" i="9"/>
  <c r="W78" i="9"/>
  <c r="W119" i="9"/>
  <c r="W64" i="9"/>
  <c r="W91" i="9"/>
  <c r="W73" i="9"/>
  <c r="W122" i="9"/>
  <c r="W59" i="9"/>
  <c r="W99" i="9"/>
  <c r="W48" i="9"/>
  <c r="W38" i="9"/>
  <c r="W72" i="9"/>
  <c r="W128" i="9"/>
  <c r="W82" i="9"/>
  <c r="W101" i="9"/>
  <c r="W37" i="9"/>
  <c r="W80" i="9"/>
  <c r="W120" i="9"/>
  <c r="W41" i="9"/>
  <c r="W97" i="9"/>
  <c r="W68" i="9"/>
  <c r="W110" i="9"/>
  <c r="W88" i="9"/>
  <c r="W67" i="9"/>
  <c r="W58" i="9"/>
  <c r="W125" i="9"/>
  <c r="W100" i="9"/>
  <c r="W114" i="9"/>
  <c r="W63" i="9"/>
  <c r="W42" i="9"/>
  <c r="W96" i="9"/>
  <c r="W123" i="9"/>
  <c r="W54" i="9"/>
  <c r="W53" i="9"/>
  <c r="W45" i="9"/>
  <c r="W129" i="9"/>
  <c r="W46" i="9"/>
  <c r="W104" i="9"/>
  <c r="W40" i="9"/>
  <c r="W57" i="9"/>
  <c r="W47" i="9"/>
  <c r="W103" i="9"/>
  <c r="W43" i="9"/>
  <c r="W39" i="9"/>
  <c r="W109" i="9"/>
  <c r="W74" i="9"/>
  <c r="W124" i="9"/>
  <c r="W52" i="9"/>
  <c r="W77" i="9"/>
  <c r="W95" i="9"/>
  <c r="W108" i="9"/>
  <c r="W60" i="9"/>
  <c r="W56" i="9"/>
  <c r="W49" i="9"/>
  <c r="W90" i="9"/>
  <c r="W107" i="9"/>
  <c r="W71" i="9"/>
  <c r="W75" i="9"/>
  <c r="W93" i="9"/>
  <c r="W62" i="9"/>
  <c r="W79" i="9"/>
  <c r="W19" i="9"/>
  <c r="W50" i="9"/>
  <c r="W117" i="9"/>
  <c r="W111" i="9"/>
  <c r="W61" i="9"/>
  <c r="W55" i="9"/>
  <c r="W44" i="9"/>
  <c r="W69" i="9"/>
  <c r="W92" i="9"/>
  <c r="W116" i="9"/>
  <c r="W127" i="9"/>
  <c r="W121" i="9"/>
  <c r="W94" i="9"/>
  <c r="W51" i="9"/>
  <c r="W21" i="9"/>
  <c r="W20" i="9"/>
  <c r="W83" i="9"/>
  <c r="W106" i="9"/>
  <c r="W105" i="9"/>
  <c r="W115" i="9"/>
  <c r="W23" i="9"/>
  <c r="W24" i="9"/>
  <c r="W26" i="9"/>
  <c r="W33" i="9"/>
  <c r="AG20" i="9"/>
  <c r="AG52" i="9"/>
  <c r="AG55" i="9"/>
  <c r="AG16" i="9"/>
  <c r="AG17" i="9" s="1"/>
  <c r="AI19" i="9"/>
  <c r="S102" i="9"/>
  <c r="T102" i="9"/>
  <c r="R130" i="9"/>
  <c r="Q102" i="9"/>
  <c r="P102" i="9"/>
  <c r="O130" i="9"/>
  <c r="AI74" i="9"/>
  <c r="AI50" i="9"/>
  <c r="AI69" i="9"/>
  <c r="AI62" i="9"/>
  <c r="AI71" i="9"/>
  <c r="AI61" i="9"/>
  <c r="N130" i="9"/>
  <c r="M130" i="9"/>
  <c r="L131" i="9"/>
  <c r="AE56" i="9"/>
  <c r="Y33" i="9"/>
  <c r="X34" i="9"/>
  <c r="AC131" i="9"/>
  <c r="AC169" i="9"/>
  <c r="AC170" i="9" s="1"/>
  <c r="B81" i="5" l="1"/>
  <c r="C81" i="5"/>
  <c r="D81" i="5"/>
  <c r="C130" i="9"/>
  <c r="G130" i="9"/>
  <c r="B83" i="5"/>
  <c r="B85" i="5" s="1"/>
  <c r="B4" i="11"/>
  <c r="C16" i="5"/>
  <c r="C72" i="8"/>
  <c r="C103" i="8" s="1"/>
  <c r="B6" i="11"/>
  <c r="B7" i="11" s="1"/>
  <c r="B36" i="12"/>
  <c r="F133" i="9"/>
  <c r="D36" i="5"/>
  <c r="D87" i="5" s="1"/>
  <c r="G19" i="9"/>
  <c r="G21" i="9" s="1"/>
  <c r="G34" i="9" s="1"/>
  <c r="G85" i="9" s="1"/>
  <c r="G131" i="9" s="1"/>
  <c r="G133" i="9" s="1"/>
  <c r="G135" i="9" s="1"/>
  <c r="C10" i="8"/>
  <c r="W102" i="9"/>
  <c r="V102" i="9"/>
  <c r="U130" i="9"/>
  <c r="AA135" i="9"/>
  <c r="Q130" i="9"/>
  <c r="P130" i="9"/>
  <c r="O131" i="9"/>
  <c r="S130" i="9"/>
  <c r="T130" i="9"/>
  <c r="R131" i="9"/>
  <c r="J133" i="9"/>
  <c r="I135" i="9"/>
  <c r="K133" i="9"/>
  <c r="Y34" i="9"/>
  <c r="X85" i="9"/>
  <c r="AJ62" i="9" s="1"/>
  <c r="AH55" i="9"/>
  <c r="M131" i="9"/>
  <c r="L133" i="9"/>
  <c r="N131" i="9"/>
  <c r="AC133" i="9"/>
  <c r="AI55" i="9"/>
  <c r="AI52" i="9"/>
  <c r="AI20" i="9"/>
  <c r="AI16" i="9"/>
  <c r="AI17" i="9" s="1"/>
  <c r="AG56" i="9"/>
  <c r="AE85" i="9"/>
  <c r="AD131" i="9" l="1"/>
  <c r="AB133" i="9"/>
  <c r="B14" i="11"/>
  <c r="AH20" i="9"/>
  <c r="AJ50" i="9"/>
  <c r="AJ69" i="9"/>
  <c r="AF56" i="9"/>
  <c r="AJ61" i="9"/>
  <c r="AJ20" i="9"/>
  <c r="AJ55" i="9"/>
  <c r="AJ74" i="9"/>
  <c r="AJ49" i="9"/>
  <c r="AH52" i="9"/>
  <c r="AI56" i="9"/>
  <c r="AJ56" i="9" s="1"/>
  <c r="AJ71" i="9"/>
  <c r="AJ83" i="9"/>
  <c r="AJ60" i="9"/>
  <c r="C21" i="9"/>
  <c r="D83" i="5"/>
  <c r="C83" i="5" s="1"/>
  <c r="C28" i="8"/>
  <c r="S131" i="9"/>
  <c r="T131" i="9"/>
  <c r="R133" i="9"/>
  <c r="AC135" i="9"/>
  <c r="AD133" i="9"/>
  <c r="AH56" i="9"/>
  <c r="AG85" i="9"/>
  <c r="V130" i="9"/>
  <c r="W130" i="9"/>
  <c r="U131" i="9"/>
  <c r="AE169" i="9"/>
  <c r="AE170" i="9" s="1"/>
  <c r="AF85" i="9"/>
  <c r="AE131" i="9"/>
  <c r="I140" i="9"/>
  <c r="E140" i="9" s="1"/>
  <c r="I138" i="9"/>
  <c r="E138" i="9" s="1"/>
  <c r="I139" i="9"/>
  <c r="E139" i="9" s="1"/>
  <c r="O133" i="9"/>
  <c r="Q131" i="9"/>
  <c r="P131" i="9"/>
  <c r="N133" i="9"/>
  <c r="M133" i="9"/>
  <c r="L135" i="9"/>
  <c r="AB130" i="9"/>
  <c r="X102" i="9"/>
  <c r="Z30" i="9"/>
  <c r="AD130" i="9"/>
  <c r="Z29" i="9"/>
  <c r="Z85" i="9"/>
  <c r="AJ130" i="9"/>
  <c r="Y85" i="9"/>
  <c r="AH130" i="9"/>
  <c r="Z31" i="9"/>
  <c r="Z28" i="9"/>
  <c r="Z132" i="9"/>
  <c r="Z32" i="9"/>
  <c r="AF130" i="9"/>
  <c r="AB132" i="9"/>
  <c r="Z27" i="9"/>
  <c r="Z81" i="9"/>
  <c r="AD132" i="9"/>
  <c r="Z113" i="9"/>
  <c r="Z38" i="9"/>
  <c r="Z70" i="9"/>
  <c r="Z59" i="9"/>
  <c r="Z78" i="9"/>
  <c r="Z73" i="9"/>
  <c r="AF132" i="9"/>
  <c r="Z122" i="9"/>
  <c r="Z119" i="9"/>
  <c r="Z128" i="9"/>
  <c r="Z99" i="9"/>
  <c r="Z25" i="9"/>
  <c r="Z66" i="9"/>
  <c r="Z72" i="9"/>
  <c r="Z91" i="9"/>
  <c r="Z65" i="9"/>
  <c r="Z48" i="9"/>
  <c r="Z64" i="9"/>
  <c r="Z76" i="9"/>
  <c r="Z42" i="9"/>
  <c r="Z97" i="9"/>
  <c r="Z46" i="9"/>
  <c r="Z110" i="9"/>
  <c r="Z58" i="9"/>
  <c r="AB70" i="9"/>
  <c r="Z41" i="9"/>
  <c r="AB64" i="9"/>
  <c r="AH132" i="9"/>
  <c r="Z53" i="9"/>
  <c r="AB72" i="9"/>
  <c r="Z47" i="9"/>
  <c r="Z129" i="9"/>
  <c r="Z100" i="9"/>
  <c r="Z120" i="9"/>
  <c r="Z63" i="9"/>
  <c r="Z57" i="9"/>
  <c r="Z123" i="9"/>
  <c r="Z88" i="9"/>
  <c r="AB73" i="9"/>
  <c r="Z114" i="9"/>
  <c r="Z45" i="9"/>
  <c r="Z82" i="9"/>
  <c r="AB66" i="9"/>
  <c r="Z54" i="9"/>
  <c r="Z80" i="9"/>
  <c r="Z67" i="9"/>
  <c r="Z104" i="9"/>
  <c r="Z40" i="9"/>
  <c r="Z68" i="9"/>
  <c r="Z96" i="9"/>
  <c r="AB65" i="9"/>
  <c r="Z125" i="9"/>
  <c r="Z101" i="9"/>
  <c r="Z103" i="9"/>
  <c r="Z37" i="9"/>
  <c r="Z50" i="9"/>
  <c r="Z52" i="9"/>
  <c r="AB58" i="9"/>
  <c r="Z60" i="9"/>
  <c r="Z124" i="9"/>
  <c r="Z39" i="9"/>
  <c r="Z74" i="9"/>
  <c r="Z49" i="9"/>
  <c r="Z116" i="9"/>
  <c r="Z108" i="9"/>
  <c r="Z43" i="9"/>
  <c r="Z121" i="9"/>
  <c r="AB63" i="9"/>
  <c r="AB57" i="9"/>
  <c r="AD65" i="9"/>
  <c r="Z83" i="9"/>
  <c r="AB54" i="9"/>
  <c r="Z61" i="9"/>
  <c r="AD70" i="9"/>
  <c r="Z127" i="9"/>
  <c r="Z79" i="9"/>
  <c r="Z55" i="9"/>
  <c r="Z94" i="9"/>
  <c r="AD64" i="9"/>
  <c r="AJ132" i="9"/>
  <c r="AB68" i="9"/>
  <c r="AD66" i="9"/>
  <c r="Z19" i="9"/>
  <c r="Z93" i="9"/>
  <c r="Z51" i="9"/>
  <c r="Z62" i="9"/>
  <c r="AD72" i="9"/>
  <c r="Z92" i="9"/>
  <c r="AB53" i="9"/>
  <c r="Z117" i="9"/>
  <c r="AD73" i="9"/>
  <c r="Z69" i="9"/>
  <c r="Z107" i="9"/>
  <c r="Z44" i="9"/>
  <c r="AB67" i="9"/>
  <c r="Z109" i="9"/>
  <c r="Z111" i="9"/>
  <c r="Z56" i="9"/>
  <c r="Z95" i="9"/>
  <c r="Z77" i="9"/>
  <c r="Z75" i="9"/>
  <c r="Z90" i="9"/>
  <c r="Z71" i="9"/>
  <c r="AF66" i="9"/>
  <c r="AD53" i="9"/>
  <c r="AD68" i="9"/>
  <c r="AB19" i="9"/>
  <c r="AF72" i="9"/>
  <c r="Z105" i="9"/>
  <c r="Z20" i="9"/>
  <c r="AD58" i="9"/>
  <c r="AB62" i="9"/>
  <c r="AB83" i="9"/>
  <c r="AB50" i="9"/>
  <c r="Z106" i="9"/>
  <c r="AB60" i="9"/>
  <c r="AF64" i="9"/>
  <c r="AD54" i="9"/>
  <c r="AF65" i="9"/>
  <c r="AD63" i="9"/>
  <c r="AF73" i="9"/>
  <c r="AD57" i="9"/>
  <c r="AB61" i="9"/>
  <c r="AB71" i="9"/>
  <c r="AD67" i="9"/>
  <c r="AF70" i="9"/>
  <c r="AB74" i="9"/>
  <c r="Z115" i="9"/>
  <c r="AB49" i="9"/>
  <c r="AB69" i="9"/>
  <c r="AD61" i="9"/>
  <c r="AD60" i="9"/>
  <c r="AF63" i="9"/>
  <c r="Z21" i="9"/>
  <c r="AH65" i="9"/>
  <c r="AF54" i="9"/>
  <c r="AH66" i="9"/>
  <c r="AB55" i="9"/>
  <c r="AF68" i="9"/>
  <c r="AD74" i="9"/>
  <c r="AD83" i="9"/>
  <c r="AD62" i="9"/>
  <c r="AH72" i="9"/>
  <c r="AB56" i="9"/>
  <c r="AD69" i="9"/>
  <c r="AH70" i="9"/>
  <c r="AD50" i="9"/>
  <c r="AF58" i="9"/>
  <c r="AD49" i="9"/>
  <c r="AD19" i="9"/>
  <c r="AH64" i="9"/>
  <c r="AF67" i="9"/>
  <c r="AF57" i="9"/>
  <c r="AB52" i="9"/>
  <c r="AD71" i="9"/>
  <c r="AH73" i="9"/>
  <c r="AB20" i="9"/>
  <c r="AF53" i="9"/>
  <c r="AH57" i="9"/>
  <c r="AF60" i="9"/>
  <c r="AF50" i="9"/>
  <c r="AJ64" i="9"/>
  <c r="AD56" i="9"/>
  <c r="AH67" i="9"/>
  <c r="AJ70" i="9"/>
  <c r="AJ72" i="9"/>
  <c r="Z23" i="9"/>
  <c r="AF69" i="9"/>
  <c r="AF61" i="9"/>
  <c r="AF71" i="9"/>
  <c r="AH63" i="9"/>
  <c r="AJ66" i="9"/>
  <c r="AD52" i="9"/>
  <c r="AF62" i="9"/>
  <c r="AF49" i="9"/>
  <c r="AJ73" i="9"/>
  <c r="AH53" i="9"/>
  <c r="AB85" i="9"/>
  <c r="AH54" i="9"/>
  <c r="AF74" i="9"/>
  <c r="AF19" i="9"/>
  <c r="AF83" i="9"/>
  <c r="AH58" i="9"/>
  <c r="AH68" i="9"/>
  <c r="AD20" i="9"/>
  <c r="Z26" i="9"/>
  <c r="Z24" i="9"/>
  <c r="AD55" i="9"/>
  <c r="AJ65" i="9"/>
  <c r="AJ63" i="9"/>
  <c r="AH74" i="9"/>
  <c r="AJ54" i="9"/>
  <c r="AH50" i="9"/>
  <c r="AF20" i="9"/>
  <c r="AH62" i="9"/>
  <c r="AD85" i="9"/>
  <c r="AH60" i="9"/>
  <c r="AJ53" i="9"/>
  <c r="AH69" i="9"/>
  <c r="AJ67" i="9"/>
  <c r="Z33" i="9"/>
  <c r="AH49" i="9"/>
  <c r="AF55" i="9"/>
  <c r="AH19" i="9"/>
  <c r="AH61" i="9"/>
  <c r="AJ57" i="9"/>
  <c r="AJ58" i="9"/>
  <c r="AH83" i="9"/>
  <c r="AJ68" i="9"/>
  <c r="AB131" i="9"/>
  <c r="AH71" i="9"/>
  <c r="AF52" i="9"/>
  <c r="AJ19" i="9"/>
  <c r="AJ52" i="9"/>
  <c r="Z34" i="9"/>
  <c r="D85" i="5" l="1"/>
  <c r="B10" i="11"/>
  <c r="B15" i="11"/>
  <c r="AI85" i="9"/>
  <c r="C102" i="8"/>
  <c r="C105" i="8" s="1"/>
  <c r="C129" i="8" s="1"/>
  <c r="C132" i="8" s="1"/>
  <c r="C134" i="8" s="1"/>
  <c r="C74" i="8"/>
  <c r="I143" i="9"/>
  <c r="E143" i="9" s="1"/>
  <c r="C34" i="9"/>
  <c r="V131" i="9"/>
  <c r="U133" i="9"/>
  <c r="W131" i="9"/>
  <c r="Z102" i="9"/>
  <c r="Y102" i="9"/>
  <c r="X130" i="9"/>
  <c r="AG169" i="9"/>
  <c r="AG170" i="9" s="1"/>
  <c r="AG131" i="9"/>
  <c r="AH85" i="9"/>
  <c r="L138" i="9"/>
  <c r="L140" i="9"/>
  <c r="L139" i="9"/>
  <c r="AI131" i="9"/>
  <c r="AI169" i="9"/>
  <c r="AI170" i="9" s="1"/>
  <c r="AJ85" i="9"/>
  <c r="P133" i="9"/>
  <c r="Q133" i="9"/>
  <c r="O135" i="9"/>
  <c r="R135" i="9"/>
  <c r="T133" i="9"/>
  <c r="S133" i="9"/>
  <c r="I144" i="9"/>
  <c r="AE133" i="9"/>
  <c r="AF131" i="9"/>
  <c r="B8" i="11" l="1"/>
  <c r="B18" i="11" s="1"/>
  <c r="C85" i="5"/>
  <c r="E144" i="9"/>
  <c r="E146" i="9" s="1"/>
  <c r="C85" i="9"/>
  <c r="D34" i="9" s="1"/>
  <c r="AI133" i="9"/>
  <c r="AJ131" i="9"/>
  <c r="AF133" i="9"/>
  <c r="AE135" i="9"/>
  <c r="O138" i="9"/>
  <c r="O139" i="9"/>
  <c r="O140" i="9"/>
  <c r="V133" i="9"/>
  <c r="W133" i="9"/>
  <c r="L143" i="9"/>
  <c r="L144" i="9" s="1"/>
  <c r="AH131" i="9"/>
  <c r="AG133" i="9"/>
  <c r="Z130" i="9"/>
  <c r="Y130" i="9"/>
  <c r="X131" i="9"/>
  <c r="R139" i="9"/>
  <c r="R138" i="9"/>
  <c r="R140" i="9"/>
  <c r="O143" i="9" l="1"/>
  <c r="O144" i="9" s="1"/>
  <c r="D33" i="9"/>
  <c r="D69" i="9"/>
  <c r="D63" i="9"/>
  <c r="D38" i="9"/>
  <c r="D79" i="9"/>
  <c r="D68" i="9"/>
  <c r="D37" i="9"/>
  <c r="D65" i="9"/>
  <c r="D55" i="9"/>
  <c r="D26" i="9"/>
  <c r="D45" i="9"/>
  <c r="D67" i="9"/>
  <c r="D43" i="9"/>
  <c r="D83" i="9"/>
  <c r="D108" i="9"/>
  <c r="D50" i="9"/>
  <c r="D103" i="9"/>
  <c r="D41" i="9"/>
  <c r="D116" i="9"/>
  <c r="D23" i="9"/>
  <c r="D119" i="9"/>
  <c r="D97" i="9"/>
  <c r="D88" i="9"/>
  <c r="D30" i="9"/>
  <c r="D129" i="9"/>
  <c r="D92" i="9"/>
  <c r="D49" i="9"/>
  <c r="D61" i="9"/>
  <c r="D100" i="9"/>
  <c r="D104" i="9"/>
  <c r="D81" i="9"/>
  <c r="D70" i="9"/>
  <c r="D74" i="9"/>
  <c r="D113" i="9"/>
  <c r="D114" i="9"/>
  <c r="D31" i="9"/>
  <c r="D109" i="9"/>
  <c r="D102" i="9"/>
  <c r="D75" i="9"/>
  <c r="D27" i="9"/>
  <c r="D117" i="9"/>
  <c r="D90" i="9"/>
  <c r="D52" i="9"/>
  <c r="D72" i="9"/>
  <c r="D85" i="9"/>
  <c r="D120" i="9"/>
  <c r="D124" i="9"/>
  <c r="D78" i="9"/>
  <c r="D66" i="9"/>
  <c r="D32" i="9"/>
  <c r="D53" i="9"/>
  <c r="D107" i="9"/>
  <c r="D60" i="9"/>
  <c r="D24" i="9"/>
  <c r="D57" i="9"/>
  <c r="D77" i="9"/>
  <c r="D71" i="9"/>
  <c r="D25" i="9"/>
  <c r="D58" i="9"/>
  <c r="D48" i="9"/>
  <c r="D59" i="9"/>
  <c r="D80" i="9"/>
  <c r="D99" i="9"/>
  <c r="D95" i="9"/>
  <c r="D127" i="9"/>
  <c r="D91" i="9"/>
  <c r="D40" i="9"/>
  <c r="D76" i="9"/>
  <c r="D42" i="9"/>
  <c r="D64" i="9"/>
  <c r="D122" i="9"/>
  <c r="D44" i="9"/>
  <c r="D128" i="9"/>
  <c r="D125" i="9"/>
  <c r="D82" i="9"/>
  <c r="D93" i="9"/>
  <c r="D111" i="9"/>
  <c r="D110" i="9"/>
  <c r="D62" i="9"/>
  <c r="C131" i="9"/>
  <c r="D28" i="9"/>
  <c r="D47" i="9"/>
  <c r="D106" i="9"/>
  <c r="D73" i="9"/>
  <c r="D56" i="9"/>
  <c r="D101" i="9"/>
  <c r="D132" i="9"/>
  <c r="D130" i="9"/>
  <c r="D123" i="9"/>
  <c r="D46" i="9"/>
  <c r="D121" i="9"/>
  <c r="D39" i="9"/>
  <c r="D115" i="9"/>
  <c r="D29" i="9"/>
  <c r="D20" i="9"/>
  <c r="D96" i="9"/>
  <c r="D105" i="9"/>
  <c r="D94" i="9"/>
  <c r="D51" i="9"/>
  <c r="D54" i="9"/>
  <c r="D19" i="9"/>
  <c r="D21" i="9"/>
  <c r="R143" i="9"/>
  <c r="Z131" i="9"/>
  <c r="X133" i="9"/>
  <c r="Y131" i="9"/>
  <c r="AG135" i="9"/>
  <c r="AH133" i="9"/>
  <c r="R144" i="9"/>
  <c r="AI135" i="9"/>
  <c r="AJ133" i="9"/>
  <c r="D131" i="9" l="1"/>
  <c r="C133" i="9"/>
  <c r="Y133" i="9"/>
  <c r="Z133" i="9"/>
  <c r="C135" i="9" l="1"/>
  <c r="D133" i="9"/>
  <c r="C139" i="9" l="1"/>
  <c r="C176" i="9" s="1"/>
  <c r="C140" i="9"/>
  <c r="G140" i="9" s="1"/>
  <c r="C138" i="9"/>
  <c r="C173" i="9" s="1"/>
  <c r="G138" i="9" l="1"/>
  <c r="C172" i="9"/>
  <c r="C175" i="9"/>
  <c r="C143" i="9"/>
  <c r="G143" i="9" s="1"/>
  <c r="G139" i="9"/>
  <c r="C144" i="9" l="1"/>
  <c r="C146" i="9" s="1"/>
  <c r="G144" i="9" l="1"/>
  <c r="G146" i="9" s="1"/>
  <c r="U134" i="9"/>
  <c r="U135" i="9" s="1"/>
  <c r="X134" i="9"/>
  <c r="X135" i="9" s="1"/>
  <c r="U152" i="9"/>
  <c r="X152" i="9"/>
  <c r="X140" i="9" l="1"/>
  <c r="X138" i="9"/>
  <c r="X139" i="9"/>
  <c r="U140" i="9"/>
  <c r="U138" i="9"/>
  <c r="U139" i="9"/>
  <c r="U143" i="9" l="1"/>
  <c r="U144" i="9" s="1"/>
  <c r="X143" i="9"/>
  <c r="X144" i="9" s="1"/>
  <c r="U153" i="9" l="1"/>
  <c r="U146" i="9" l="1"/>
  <c r="X153" i="9"/>
  <c r="X146" i="9" l="1"/>
  <c r="C150" i="9" l="1"/>
  <c r="C149" i="9"/>
  <c r="C148" i="9" l="1"/>
</calcChain>
</file>

<file path=xl/comments1.xml><?xml version="1.0" encoding="utf-8"?>
<comments xmlns="http://schemas.openxmlformats.org/spreadsheetml/2006/main">
  <authors>
    <author>Ken Gee</author>
    <author>tc={D7E8FF43-9E79-4B41-9923-122C2A69C997}</author>
    <author>Microsoft Office User</author>
    <author>tc={BCFF332F-CB68-4CF7-B5B3-B280B1E06D34}</author>
    <author>tc={0E9ECCE4-B9AB-4561-B3CA-FBE0FD143C0B}</author>
    <author>Mark</author>
  </authors>
  <commentList>
    <comment ref="I2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Enter your assumptions here.</t>
        </r>
      </text>
    </comment>
    <comment ref="N2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space is provided so you can make notes to yourself during the underwriting process.</t>
        </r>
      </text>
    </comment>
    <comment ref="E13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 spreadsheet is designed so you can easily hide this column if you don't need it.  You can also use it to annualize a T-6 or whatever other financials you like.</t>
        </r>
      </text>
    </comment>
    <comment ref="I37" authorId="1">
      <text>
        <r>
          <rPr>
            <sz val="11"/>
            <rFont val="Arial"/>
            <family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question</t>
        </r>
      </text>
    </comment>
    <comment ref="J99" authorId="2">
      <text>
        <r>
          <rPr>
            <b/>
            <sz val="10"/>
            <color rgb="FF000000"/>
            <rFont val="Tahoma"/>
            <family val="2"/>
          </rPr>
          <t>Ken: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 not assume that the default number in this cell is the correct number for your deal.</t>
        </r>
      </text>
    </comment>
    <comment ref="I101" authorId="3">
      <text>
        <r>
          <rPr>
            <sz val="11"/>
            <rFont val="Arial"/>
            <family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2,400 ?</t>
        </r>
      </text>
    </comment>
    <comment ref="J105" authorId="2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Do not assume that the default number in this cell is the correct number for your deal.</t>
        </r>
      </text>
    </comment>
    <comment ref="J106" authorId="2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Do not assume that the default number in this cell is the correct number for your deal.
</t>
        </r>
      </text>
    </comment>
    <comment ref="I113" authorId="4">
      <text>
        <r>
          <rPr>
            <sz val="11"/>
            <rFont val="Arial"/>
            <family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BTR + Sunbiz</t>
        </r>
      </text>
    </comment>
    <comment ref="B132" authorId="5">
      <text>
        <r>
          <rPr>
            <b/>
            <sz val="9"/>
            <color indexed="81"/>
            <rFont val="Tahoma"/>
            <family val="2"/>
          </rPr>
          <t xml:space="preserve">Mark:
I included Tax, Insurance, and replacement reserve escrows from Debt Service Payments
</t>
        </r>
      </text>
    </comment>
    <comment ref="J132" authorId="2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Do not assume that the default number in this cell is the correct number for your deal.
</t>
        </r>
      </text>
    </comment>
    <comment ref="B139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Assumes you are paying a preferred return.</t>
        </r>
      </text>
    </comment>
    <comment ref="B142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Based on capital, not gross receipts.</t>
        </r>
      </text>
    </comment>
    <comment ref="B143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If there are excess funds available after paying the pref. and asset management fees, it is assumed you will save those funds for later distribution.</t>
        </r>
      </text>
    </comment>
    <comment ref="B148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Calculated by adding all cash paid out to investors and comparing it to capital contributions, divided by 5 years.</t>
        </r>
      </text>
    </comment>
    <comment ref="B149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approximate.  To be more accurate requires a detailed listing of the timing of cash distributions.</t>
        </r>
      </text>
    </comment>
    <comment ref="B152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Debt Service Coverage Ratio.  A DSCR of 1.0 means you have just enough money to pay your debt service with nothing left over.</t>
        </r>
      </text>
    </comment>
    <comment ref="B153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Cash generated from operating the property divided by the total equity required.</t>
        </r>
      </text>
    </comment>
    <comment ref="B154" authorId="2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Calculated off the purchase price that has been entered.</t>
        </r>
      </text>
    </comment>
    <comment ref="B155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Calculates the annual growth rate of rents.</t>
        </r>
      </text>
    </comment>
    <comment ref="B156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Your loan expressed as a percentage of the purchase price.</t>
        </r>
      </text>
    </comment>
    <comment ref="B157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Your loan expressed as a percentage of the total cost of the project, including acquisition costs and improvements.</t>
        </r>
      </text>
    </comment>
    <comment ref="B160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Your desired cap rate - the cap rate you hope to achieve when you purchase a property.  Entered on the Data Entry Page.</t>
        </r>
      </text>
    </comment>
    <comment ref="B161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Calculated as NOI divided by your target cap rate.</t>
        </r>
      </text>
    </comment>
    <comment ref="B164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Your estimated selling cap rate - the cap rate you expect to be the market cap rate for this property when you sell it at the end of year 5.  Entered on the Data Entry Page.</t>
        </r>
        <r>
          <rPr>
            <sz val="10"/>
            <color rgb="FF000000"/>
            <rFont val="Arial"/>
            <family val="2"/>
          </rPr>
          <t xml:space="preserve">
</t>
        </r>
      </text>
    </comment>
    <comment ref="B165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Calculated as NOI divided by your exit cap rate.</t>
        </r>
      </text>
    </comment>
    <comment ref="B170" authorId="0">
      <text>
        <r>
          <rPr>
            <b/>
            <sz val="10"/>
            <color rgb="FF000000"/>
            <rFont val="Tahoma"/>
            <family val="2"/>
          </rPr>
          <t>Ken Gee: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 use this metric to monitor our projected costs in this area.  This is the one part of the P&amp;L that you can't easily "prove out".  As a result, we must use a long term estimate for this number.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<sst xmlns="http://schemas.openxmlformats.org/spreadsheetml/2006/main" count="1108" uniqueCount="529">
  <si>
    <t>Income Statement</t>
  </si>
  <si>
    <r>
      <rPr>
        <b/>
        <sz val="11"/>
        <rFont val="Arial"/>
        <family val="2"/>
      </rPr>
      <t>Cruise Property Management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</si>
  <si>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</si>
  <si>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Accounting Basis: </t>
    </r>
    <r>
      <rPr>
        <sz val="11"/>
        <rFont val="Arial"/>
        <family val="2"/>
      </rPr>
      <t>Accrual</t>
    </r>
  </si>
  <si>
    <r>
      <rPr>
        <b/>
        <sz val="11"/>
        <rFont val="Arial"/>
        <family val="2"/>
      </rPr>
      <t xml:space="preserve">Level of Detail: </t>
    </r>
    <r>
      <rPr>
        <sz val="11"/>
        <rFont val="Arial"/>
        <family val="2"/>
      </rPr>
      <t>Detail View</t>
    </r>
  </si>
  <si>
    <r>
      <rPr>
        <b/>
        <sz val="11"/>
        <rFont val="Arial"/>
        <family val="2"/>
      </rPr>
      <t xml:space="preserve">Include Zero Balance GL Accounts: </t>
    </r>
    <r>
      <rPr>
        <sz val="11"/>
        <rFont val="Arial"/>
        <family val="2"/>
      </rPr>
      <t>No</t>
    </r>
  </si>
  <si>
    <t>Account Name</t>
  </si>
  <si>
    <t>Selected Month</t>
  </si>
  <si>
    <t>Year to Month End</t>
  </si>
  <si>
    <t>Operating Income &amp; Expense</t>
  </si>
  <si>
    <t xml:space="preserve">    Income</t>
  </si>
  <si>
    <t xml:space="preserve">        RENTS</t>
  </si>
  <si>
    <t xml:space="preserve">            Rent Income</t>
  </si>
  <si>
    <t xml:space="preserve">            Section 8 Rent</t>
  </si>
  <si>
    <t xml:space="preserve">            Concessions</t>
  </si>
  <si>
    <t xml:space="preserve">        Total RENTS</t>
  </si>
  <si>
    <t xml:space="preserve">        FEES</t>
  </si>
  <si>
    <t xml:space="preserve">            NSF/Returned Payment Fees</t>
  </si>
  <si>
    <t xml:space="preserve">            Tenant Eviction/Legal Recovery</t>
  </si>
  <si>
    <t xml:space="preserve">            Pet Rent</t>
  </si>
  <si>
    <t xml:space="preserve">            Application Fee Income</t>
  </si>
  <si>
    <t xml:space="preserve">            Insurance Services</t>
  </si>
  <si>
    <t xml:space="preserve">            Insurance Admin Fees</t>
  </si>
  <si>
    <t xml:space="preserve">            Security Deposit Insurance</t>
  </si>
  <si>
    <t xml:space="preserve">            Break Lease </t>
  </si>
  <si>
    <t xml:space="preserve">            Late Fee</t>
  </si>
  <si>
    <t xml:space="preserve">            Utility Reimbursement Fee</t>
  </si>
  <si>
    <t xml:space="preserve">            Garbage Fee</t>
  </si>
  <si>
    <t xml:space="preserve">        Total FEES</t>
  </si>
  <si>
    <t xml:space="preserve">        Deposit Forfeit</t>
  </si>
  <si>
    <t xml:space="preserve">        Laundry Income</t>
  </si>
  <si>
    <t xml:space="preserve">        Tenant Improvements</t>
  </si>
  <si>
    <t xml:space="preserve">        Miscellaneous Income</t>
  </si>
  <si>
    <t xml:space="preserve">    Total Operating Income</t>
  </si>
  <si>
    <t xml:space="preserve">    Expense</t>
  </si>
  <si>
    <t xml:space="preserve">        CLEANING AND MAINTENANCE</t>
  </si>
  <si>
    <t xml:space="preserve">            Supplies - Cleaning and Maitenance</t>
  </si>
  <si>
    <t xml:space="preserve">            Cleaning and Maintenance -Other</t>
  </si>
  <si>
    <t xml:space="preserve">        Total CLEANING AND MAINTENANCE</t>
  </si>
  <si>
    <t xml:space="preserve">        Permits &amp; Licenses</t>
  </si>
  <si>
    <t xml:space="preserve">        CONTRACT SERVICES</t>
  </si>
  <si>
    <t xml:space="preserve">            Elevator</t>
  </si>
  <si>
    <t xml:space="preserve">            Pool</t>
  </si>
  <si>
    <t xml:space="preserve">            Pest Control</t>
  </si>
  <si>
    <t xml:space="preserve">            Landscaping</t>
  </si>
  <si>
    <t xml:space="preserve">        Total CONTRACT SERVICES</t>
  </si>
  <si>
    <t xml:space="preserve">        LEGAL AND OTHER PROFESSIONAL FEES</t>
  </si>
  <si>
    <t xml:space="preserve">            Legal</t>
  </si>
  <si>
    <t xml:space="preserve">        Total LEGAL AND OTHER PROFESSIONAL FEES</t>
  </si>
  <si>
    <t xml:space="preserve">        MANAGEMENT FEES</t>
  </si>
  <si>
    <t xml:space="preserve">            Commissions/Placement Fee's</t>
  </si>
  <si>
    <t xml:space="preserve">                Realtor Commissions</t>
  </si>
  <si>
    <t xml:space="preserve">            Total Commissions/Placement Fee's</t>
  </si>
  <si>
    <t xml:space="preserve">            Management fees</t>
  </si>
  <si>
    <t xml:space="preserve">        Total MANAGEMENT FEES</t>
  </si>
  <si>
    <t xml:space="preserve">        REPAIRS</t>
  </si>
  <si>
    <t xml:space="preserve">            Plumbing</t>
  </si>
  <si>
    <t xml:space="preserve">            HVAC (Heat, Ventilation, Air)</t>
  </si>
  <si>
    <t xml:space="preserve">            General Maintenance Labor</t>
  </si>
  <si>
    <t xml:space="preserve">            Key/Lock Replacement</t>
  </si>
  <si>
    <t xml:space="preserve">            Supplies - R&amp;M</t>
  </si>
  <si>
    <t xml:space="preserve">            Supplies - HVAC</t>
  </si>
  <si>
    <t xml:space="preserve">        Total REPAIRS</t>
  </si>
  <si>
    <t xml:space="preserve">        UTILITIES</t>
  </si>
  <si>
    <t xml:space="preserve">            Electricity</t>
  </si>
  <si>
    <t xml:space="preserve">            Water &amp; Sewer</t>
  </si>
  <si>
    <t xml:space="preserve">            Garbage and Recycling</t>
  </si>
  <si>
    <t xml:space="preserve">        Total UTILITIES</t>
  </si>
  <si>
    <t xml:space="preserve">        GENERAL &amp; ADMINISTRATIVE</t>
  </si>
  <si>
    <t xml:space="preserve">            Appfolio/Software Charges</t>
  </si>
  <si>
    <t xml:space="preserve">            Postage &amp; Delivery</t>
  </si>
  <si>
    <t xml:space="preserve">            Misc. Expense/Other Gen &amp; Admin Charges</t>
  </si>
  <si>
    <t xml:space="preserve">            Tenant Security Deposit Insurance</t>
  </si>
  <si>
    <t xml:space="preserve">        Total GENERAL &amp; ADMINISTRATIVE</t>
  </si>
  <si>
    <t xml:space="preserve">        Advertising</t>
  </si>
  <si>
    <t xml:space="preserve">    Total Operating Expense</t>
  </si>
  <si>
    <t xml:space="preserve">    NOI - Net Operating Income</t>
  </si>
  <si>
    <t>Other Income &amp; Expense</t>
  </si>
  <si>
    <t xml:space="preserve">    Other Expense</t>
  </si>
  <si>
    <t xml:space="preserve">        CAPITAL EXPENSES</t>
  </si>
  <si>
    <t xml:space="preserve">            Appliances</t>
  </si>
  <si>
    <t xml:space="preserve">            Remodel-Gen. Maintenance Labor</t>
  </si>
  <si>
    <t xml:space="preserve">            Remodel - Supplies</t>
  </si>
  <si>
    <t xml:space="preserve">            Remodel-Exterior Renovations</t>
  </si>
  <si>
    <t xml:space="preserve">        Total CAPITAL EXPENSES</t>
  </si>
  <si>
    <t xml:space="preserve">    Total Other Expense</t>
  </si>
  <si>
    <t xml:space="preserve">    Net Other Income</t>
  </si>
  <si>
    <t xml:space="preserve">    Total Income</t>
  </si>
  <si>
    <t xml:space="preserve">    Total Expense</t>
  </si>
  <si>
    <t xml:space="preserve">    Net Income</t>
  </si>
  <si>
    <t>Balance Sheet</t>
  </si>
  <si>
    <t>Account Number</t>
  </si>
  <si>
    <t>Balance</t>
  </si>
  <si>
    <t>ASSETS</t>
  </si>
  <si>
    <t>Cash</t>
  </si>
  <si>
    <t>1101</t>
  </si>
  <si>
    <t xml:space="preserve">    Operating Account</t>
  </si>
  <si>
    <t>1102</t>
  </si>
  <si>
    <t xml:space="preserve">    Security Account</t>
  </si>
  <si>
    <t>Total Cash</t>
  </si>
  <si>
    <t>1300</t>
  </si>
  <si>
    <t>Accounts Receivable</t>
  </si>
  <si>
    <t>TOTAL ASSETS</t>
  </si>
  <si>
    <t>LIABILITIES &amp; CAPITAL</t>
  </si>
  <si>
    <t>Liabilities</t>
  </si>
  <si>
    <t xml:space="preserve">    SECURITY DEPOSITS</t>
  </si>
  <si>
    <t>2101</t>
  </si>
  <si>
    <t xml:space="preserve">        Mgmt Held Security Deposits</t>
  </si>
  <si>
    <t xml:space="preserve">    Total SECURITY DEPOSITS</t>
  </si>
  <si>
    <t>2300</t>
  </si>
  <si>
    <t xml:space="preserve">    Prepaid Rent</t>
  </si>
  <si>
    <t>2500</t>
  </si>
  <si>
    <t xml:space="preserve">    Accounts Payable</t>
  </si>
  <si>
    <t>Total Liabilities</t>
  </si>
  <si>
    <t>Capital</t>
  </si>
  <si>
    <t>3150</t>
  </si>
  <si>
    <t xml:space="preserve">    Owner Contribution</t>
  </si>
  <si>
    <t>3250</t>
  </si>
  <si>
    <t xml:space="preserve">    Owner Distribution</t>
  </si>
  <si>
    <t xml:space="preserve">    Calculated Retained Earnings</t>
  </si>
  <si>
    <t>Total Capital</t>
  </si>
  <si>
    <t>TOTAL LIABILITIES &amp; CAPITAL</t>
  </si>
  <si>
    <t>Combined Trial Balance</t>
  </si>
  <si>
    <t>Top</t>
  </si>
  <si>
    <t>Allaire on 41st top level</t>
  </si>
  <si>
    <t>Unaudited Consolidated Balance Sheet</t>
  </si>
  <si>
    <t xml:space="preserve">      Cash and Cash Equivalents</t>
  </si>
  <si>
    <t xml:space="preserve">      Accounts Receivable</t>
  </si>
  <si>
    <t xml:space="preserve">      Prepaid Insurance</t>
  </si>
  <si>
    <t xml:space="preserve">      Prepaid Interest</t>
  </si>
  <si>
    <t xml:space="preserve">      Prepaid Other</t>
  </si>
  <si>
    <t xml:space="preserve">      Fixed Assets, Net</t>
  </si>
  <si>
    <t xml:space="preserve">      Capitalized Loan Costs, Net</t>
  </si>
  <si>
    <t xml:space="preserve">      Deposits in Escrow</t>
  </si>
  <si>
    <t xml:space="preserve">      Other Assets</t>
  </si>
  <si>
    <t>LIABILITIES AND EQUITY</t>
  </si>
  <si>
    <t xml:space="preserve">   Liabilities</t>
  </si>
  <si>
    <t xml:space="preserve">      Accounts Payable</t>
  </si>
  <si>
    <t xml:space="preserve">      Property Taxes Payable</t>
  </si>
  <si>
    <t xml:space="preserve">      Notes Payable</t>
  </si>
  <si>
    <t xml:space="preserve">      Other Liabilities</t>
  </si>
  <si>
    <t xml:space="preserve">   Total Liabilities</t>
  </si>
  <si>
    <t xml:space="preserve">   Equity</t>
  </si>
  <si>
    <t xml:space="preserve">      Members Equity</t>
  </si>
  <si>
    <t xml:space="preserve">      Current Year Net Income </t>
  </si>
  <si>
    <t xml:space="preserve">      Accumulated Earnings &amp; Profits</t>
  </si>
  <si>
    <t xml:space="preserve">   Total Equity</t>
  </si>
  <si>
    <t>TOTAL LIABILITIES AND EQUITY</t>
  </si>
  <si>
    <t>Unaudited Consolidated Income Statement</t>
  </si>
  <si>
    <t>REVENUES</t>
  </si>
  <si>
    <t>Rent Income</t>
  </si>
  <si>
    <t>Distribution Income</t>
  </si>
  <si>
    <t>Gross Profit</t>
  </si>
  <si>
    <t>Acquisition Fees</t>
  </si>
  <si>
    <t>Bank Fees</t>
  </si>
  <si>
    <t>Due Diligence</t>
  </si>
  <si>
    <t>Guarantor Fee</t>
  </si>
  <si>
    <t>Management Fees</t>
  </si>
  <si>
    <t>Professional Fees</t>
  </si>
  <si>
    <t>Property Taxes</t>
  </si>
  <si>
    <t>Other Costs</t>
  </si>
  <si>
    <t>Total expenses</t>
  </si>
  <si>
    <t>Other Income/(Expense)</t>
  </si>
  <si>
    <t>PROFIT BEFORE TAXES, INTEREST, AND DEPRECIATION</t>
  </si>
  <si>
    <t>Interest Income</t>
  </si>
  <si>
    <t>Interest Expense</t>
  </si>
  <si>
    <t>Amortization</t>
  </si>
  <si>
    <t>Depreciation</t>
  </si>
  <si>
    <t>PROFIT BEFORE TAXES</t>
  </si>
  <si>
    <t>Income Taxes</t>
  </si>
  <si>
    <t>NET INCOME</t>
  </si>
  <si>
    <t xml:space="preserve">    Accounts Payable-Top</t>
  </si>
  <si>
    <t>Combined</t>
  </si>
  <si>
    <t xml:space="preserve">      Property Tax in Escrow</t>
  </si>
  <si>
    <t>Insurance</t>
  </si>
  <si>
    <t>Property Taxes Payable</t>
  </si>
  <si>
    <t>Notes Payable</t>
  </si>
  <si>
    <t>Eliminations</t>
  </si>
  <si>
    <t>Cash Flow</t>
  </si>
  <si>
    <t>Selected Period</t>
  </si>
  <si>
    <t>Fiscal Year To Date</t>
  </si>
  <si>
    <t xml:space="preserve">    Other Items</t>
  </si>
  <si>
    <t xml:space="preserve">        SECURITY DEPOSITS</t>
  </si>
  <si>
    <t xml:space="preserve">        Prepaid Rent</t>
  </si>
  <si>
    <t xml:space="preserve">        Owner Contribution</t>
  </si>
  <si>
    <t xml:space="preserve">        Owner Distribution</t>
  </si>
  <si>
    <t xml:space="preserve">    Net Other Items</t>
  </si>
  <si>
    <t>Beginning Cash</t>
  </si>
  <si>
    <t>Beginning Cash + Cash Flow</t>
  </si>
  <si>
    <t>Actual Ending Cash</t>
  </si>
  <si>
    <t xml:space="preserve">            Administrative</t>
  </si>
  <si>
    <t xml:space="preserve">        Insurance</t>
  </si>
  <si>
    <t xml:space="preserve">        Property Taxes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</si>
  <si>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07/27/2025 02:06 PM</t>
    </r>
  </si>
  <si>
    <r>
      <rPr>
        <b/>
        <sz val="11"/>
        <rFont val="Arial"/>
        <family val="2"/>
      </rPr>
      <t xml:space="preserve">Date Range: </t>
    </r>
    <r>
      <rPr>
        <sz val="11"/>
        <rFont val="Arial"/>
        <family val="2"/>
      </rPr>
      <t>04/01/2025 to 06/30/2025 (Last Quarter)</t>
    </r>
  </si>
  <si>
    <r>
      <rPr>
        <b/>
        <sz val="11"/>
        <rFont val="Arial"/>
        <family val="2"/>
      </rPr>
      <t xml:space="preserve">Additional Cash GL Accounts: </t>
    </r>
    <r>
      <rPr>
        <sz val="11"/>
        <rFont val="Arial"/>
        <family val="2"/>
      </rPr>
      <t>1102: Security Account, 1137: Due From/To, and 1150: Exchange/Transfer</t>
    </r>
  </si>
  <si>
    <t>% of Selected Period</t>
  </si>
  <si>
    <t>% of Fiscal Year To Date</t>
  </si>
  <si>
    <t xml:space="preserve">    Change in Assets &amp; Liabilities</t>
  </si>
  <si>
    <t xml:space="preserve">        Accounts Receivable</t>
  </si>
  <si>
    <t xml:space="preserve">        Accounts Payable</t>
  </si>
  <si>
    <t xml:space="preserve">    Net Change in Assets &amp; Liabilities</t>
  </si>
  <si>
    <t xml:space="preserve">        Notes Payable</t>
  </si>
  <si>
    <t>Underwriting Assumptions</t>
  </si>
  <si>
    <t>Underwriting Comments:</t>
  </si>
  <si>
    <t>Vacancy Loss %</t>
  </si>
  <si>
    <t>Bad Debt %</t>
  </si>
  <si>
    <t>Concessions %</t>
  </si>
  <si>
    <t>Rent Escalator</t>
  </si>
  <si>
    <t>Other Income Escalator</t>
  </si>
  <si>
    <t>Expense Escalator</t>
  </si>
  <si>
    <t>Since Inception DATA</t>
  </si>
  <si>
    <t>ACQUISITION (YEAR 0)</t>
  </si>
  <si>
    <t>POST ACQUISITION</t>
  </si>
  <si>
    <t>Financial Projections</t>
  </si>
  <si>
    <t>Acquisition</t>
  </si>
  <si>
    <t>T3</t>
  </si>
  <si>
    <t>Analysis</t>
  </si>
  <si>
    <t>Cash Flow Projection:</t>
  </si>
  <si>
    <t>%</t>
  </si>
  <si>
    <t>Year 0</t>
  </si>
  <si>
    <t>Per Unit</t>
  </si>
  <si>
    <t>Year 1</t>
  </si>
  <si>
    <t>Year 2</t>
  </si>
  <si>
    <t>Year 3</t>
  </si>
  <si>
    <t xml:space="preserve"> Per Unit </t>
  </si>
  <si>
    <t>Year  4</t>
  </si>
  <si>
    <t>Year 5</t>
  </si>
  <si>
    <t>Year 6</t>
  </si>
  <si>
    <t>Year 7</t>
  </si>
  <si>
    <t>Year 8</t>
  </si>
  <si>
    <t>Year 9</t>
  </si>
  <si>
    <t>Year 10</t>
  </si>
  <si>
    <t>Comments</t>
  </si>
  <si>
    <t>Average Rent</t>
  </si>
  <si>
    <t xml:space="preserve">  </t>
  </si>
  <si>
    <t>Average Annual Rent Increase</t>
  </si>
  <si>
    <t>INCOME:</t>
  </si>
  <si>
    <t>Gross Rent</t>
  </si>
  <si>
    <t>(Loss) / Gain to Old Lease</t>
  </si>
  <si>
    <t>Gross Possible Rent</t>
  </si>
  <si>
    <t>Deductions</t>
  </si>
  <si>
    <t>Bad Debt</t>
  </si>
  <si>
    <t>Vacancy Loss</t>
  </si>
  <si>
    <t>Vacancy Loss - Model Units</t>
  </si>
  <si>
    <t>Rent Concessions - Recurring</t>
  </si>
  <si>
    <t>Rent Concessions - One Time</t>
  </si>
  <si>
    <t>Employee Apartment Discounts</t>
  </si>
  <si>
    <t>Other</t>
  </si>
  <si>
    <t>Total Deductions</t>
  </si>
  <si>
    <t>Net Rental Income</t>
  </si>
  <si>
    <t>Other Income</t>
  </si>
  <si>
    <t>Administrative Fees</t>
  </si>
  <si>
    <t>Alarm Charges</t>
  </si>
  <si>
    <t>Appliance Rental Income</t>
  </si>
  <si>
    <t>Application Fees</t>
  </si>
  <si>
    <t>Attorney / Court Fees</t>
  </si>
  <si>
    <t>Bad Debt Recovery</t>
  </si>
  <si>
    <t>Cable Fees (Access &amp; Marketing)</t>
  </si>
  <si>
    <t>Clubhouse or Facility Rental</t>
  </si>
  <si>
    <t>Concession Repayment</t>
  </si>
  <si>
    <t>Credit Card Processing Fees</t>
  </si>
  <si>
    <t>Deposits &amp; Hold Fees Forfeited</t>
  </si>
  <si>
    <t>Garage &amp; Parking Rental Income</t>
  </si>
  <si>
    <t>Holding Deposit</t>
  </si>
  <si>
    <t>Insurance Income</t>
  </si>
  <si>
    <t>Late Charge Fees</t>
  </si>
  <si>
    <t>Laundry Income</t>
  </si>
  <si>
    <t>Lease Termination/Breakage Fees</t>
  </si>
  <si>
    <t>Miscellaneous Income</t>
  </si>
  <si>
    <t>Month to Month Fees</t>
  </si>
  <si>
    <t>Pest Control Fees</t>
  </si>
  <si>
    <t>Pet Fees - Non-Refundable</t>
  </si>
  <si>
    <t>Pet Rent</t>
  </si>
  <si>
    <t>Resident Cleaning Charges</t>
  </si>
  <si>
    <t>Resident Misc. Income</t>
  </si>
  <si>
    <t>Short Term Lease Premium</t>
  </si>
  <si>
    <t>Storage Space Rental Income</t>
  </si>
  <si>
    <t>Utility Bill Back - Electric</t>
  </si>
  <si>
    <t>Utility Bill Back - General</t>
  </si>
  <si>
    <t>Utility Bill Back - Water</t>
  </si>
  <si>
    <t>Utility Bill Back - Sewer</t>
  </si>
  <si>
    <t>Utility Bill Back - Trash</t>
  </si>
  <si>
    <t>Utility Cost Recovery Surcharge (UCRS)</t>
  </si>
  <si>
    <t>Valet Trash Service</t>
  </si>
  <si>
    <t>Vending Machine Income</t>
  </si>
  <si>
    <t>Washer/Dryer Rental Income</t>
  </si>
  <si>
    <t>Bad Debt Write Off - Other Income</t>
  </si>
  <si>
    <t>NSF Fees</t>
  </si>
  <si>
    <t>Amenity Fee</t>
  </si>
  <si>
    <t>Transfer Fee</t>
  </si>
  <si>
    <t>Monthly Security Charge</t>
  </si>
  <si>
    <t>Total Other Income</t>
  </si>
  <si>
    <t>Total Income</t>
  </si>
  <si>
    <t>EXPENSES:</t>
  </si>
  <si>
    <t>Advertising &amp; Promotion</t>
  </si>
  <si>
    <t>Contract Services</t>
  </si>
  <si>
    <t>CS - Cleaning - Common Area</t>
  </si>
  <si>
    <t>CS - Landscaping Maintenance</t>
  </si>
  <si>
    <t>CS - Pest Control</t>
  </si>
  <si>
    <t>CS - Pool Expense</t>
  </si>
  <si>
    <t>CS - Elevator</t>
  </si>
  <si>
    <t>CS - Security</t>
  </si>
  <si>
    <t>CS - Valet Trash</t>
  </si>
  <si>
    <t>CS - Trash Removal</t>
  </si>
  <si>
    <t>Insurance Expense - Property/Liab</t>
  </si>
  <si>
    <t>INS - Property Insurance</t>
  </si>
  <si>
    <t>INS - Flood Insurance</t>
  </si>
  <si>
    <t>INS - Other (Gen Liab)</t>
  </si>
  <si>
    <t>Property Management Fees</t>
  </si>
  <si>
    <t>Misc. Expense</t>
  </si>
  <si>
    <t>Payroll &amp; Related Expenses</t>
  </si>
  <si>
    <t>Repairs &amp; Maintenance</t>
  </si>
  <si>
    <t>Unit Turn Costs</t>
  </si>
  <si>
    <t>Leasing Fee</t>
  </si>
  <si>
    <t>Brokers Fee</t>
  </si>
  <si>
    <t>Legal Tentants</t>
  </si>
  <si>
    <t>Pressure Cleaning + Paint touch up</t>
  </si>
  <si>
    <t>Leasing</t>
  </si>
  <si>
    <t>Taxes</t>
  </si>
  <si>
    <t>TAX - Licenses &amp; Permits</t>
  </si>
  <si>
    <t>TAX - Personal Property Taxes</t>
  </si>
  <si>
    <t>TAX - Real Property Taxes</t>
  </si>
  <si>
    <t>TAX - Real Property Taxes - Increase From Sale</t>
  </si>
  <si>
    <t>TAX - Other Taxes</t>
  </si>
  <si>
    <t>Utilities</t>
  </si>
  <si>
    <t>UTIL - Cable/Internet</t>
  </si>
  <si>
    <t>UTIL - Electric - Common</t>
  </si>
  <si>
    <t>UTIL - Electric - Vacants</t>
  </si>
  <si>
    <t>UTIL - Gas</t>
  </si>
  <si>
    <t>UTIL - Telephone</t>
  </si>
  <si>
    <t>UTIL - Water &amp; Sewer</t>
  </si>
  <si>
    <t>Administrative/Office Expenses</t>
  </si>
  <si>
    <t>Prof. Fees - Accounting &amp; Tax Return Prep</t>
  </si>
  <si>
    <t>Prof. Fees - Eviction (Legal)</t>
  </si>
  <si>
    <t>Prof. Fees - Other</t>
  </si>
  <si>
    <t>Total Expenses</t>
  </si>
  <si>
    <t>Net Income</t>
  </si>
  <si>
    <t xml:space="preserve">Less:  Replacement Reserves </t>
  </si>
  <si>
    <t>Net Operating Income (NOI)</t>
  </si>
  <si>
    <t>Less: Debt Service</t>
  </si>
  <si>
    <t>Net Cash Flow After Debt Service</t>
  </si>
  <si>
    <t>DISTRIBUTION OF CASH FLOW</t>
  </si>
  <si>
    <t>Class A Members</t>
  </si>
  <si>
    <t>Sponsor Carry</t>
  </si>
  <si>
    <t>Asset Advisor Fee</t>
  </si>
  <si>
    <t>Asset Management Fee</t>
  </si>
  <si>
    <t xml:space="preserve">Excess Funds </t>
  </si>
  <si>
    <t>Accumulated Excess Cash</t>
  </si>
  <si>
    <t>N/A</t>
  </si>
  <si>
    <t>SUMMARY OF CLASS A MEMBER RETURN METRICS</t>
  </si>
  <si>
    <t>Avg. Annual ROI to Class A Members</t>
  </si>
  <si>
    <t>Approximate IRR</t>
  </si>
  <si>
    <t>Equity Multiple</t>
  </si>
  <si>
    <t>DEAL METRICS</t>
  </si>
  <si>
    <t>DSCR</t>
  </si>
  <si>
    <t>Cash on Cash Return</t>
  </si>
  <si>
    <t>Actual Cap Rate (Calculated)</t>
  </si>
  <si>
    <t>Annual Rental Income Increase (%)</t>
  </si>
  <si>
    <t>Loan to Purchase Price</t>
  </si>
  <si>
    <t>Loan to Total Cost</t>
  </si>
  <si>
    <t>MARKET VALUES</t>
  </si>
  <si>
    <t>Going In Cap Rate Values</t>
  </si>
  <si>
    <t xml:space="preserve">Target Cap Rate </t>
  </si>
  <si>
    <t>FMV</t>
  </si>
  <si>
    <t>FMV/Unit</t>
  </si>
  <si>
    <t>Exit Cap Rate Values</t>
  </si>
  <si>
    <t>Exit Cap Rate</t>
  </si>
  <si>
    <t>EXPENSE ANALYSIS</t>
  </si>
  <si>
    <t>Expenses as a % of Income</t>
  </si>
  <si>
    <t>Expense per Unit</t>
  </si>
  <si>
    <t>R &amp; M + Unit Turn Cost + Reserves Per Unit</t>
  </si>
  <si>
    <t>Tenant improvements</t>
  </si>
  <si>
    <t>Actual Q2</t>
  </si>
  <si>
    <t>CITADEL ALLAIRE ON 41ST LLC</t>
  </si>
  <si>
    <t>Opening Balance</t>
  </si>
  <si>
    <t>Current Interest Rate</t>
  </si>
  <si>
    <t>Monthly Interest</t>
  </si>
  <si>
    <t>Tax Escrow</t>
  </si>
  <si>
    <t>Insurance Escrow</t>
  </si>
  <si>
    <t>Replacement Reserve Escrow</t>
  </si>
  <si>
    <t xml:space="preserve">      Management Fee Payable</t>
  </si>
  <si>
    <t>Budget</t>
  </si>
  <si>
    <t>variance</t>
  </si>
  <si>
    <t>Total Cash Flow Available to be Distributed</t>
  </si>
  <si>
    <t>Total Payment</t>
  </si>
  <si>
    <t>Loan Interest Expense</t>
  </si>
  <si>
    <t>Related Party Interest Expense</t>
  </si>
  <si>
    <t>Other Interest Expense</t>
  </si>
  <si>
    <t>Class A Cash on cash (current)</t>
  </si>
  <si>
    <t>Class A Cash on cash (projected annual)</t>
  </si>
  <si>
    <t>Total cash on cash (current)</t>
  </si>
  <si>
    <t>Total cash on cash (projected annual)</t>
  </si>
  <si>
    <r>
      <t>Gross Rental Income</t>
    </r>
    <r>
      <rPr>
        <sz val="12"/>
        <color rgb="FF000000"/>
        <rFont val="Arial"/>
        <family val="2"/>
      </rPr>
      <t>: $</t>
    </r>
  </si>
  <si>
    <r>
      <t>Gross Other Income</t>
    </r>
    <r>
      <rPr>
        <sz val="12"/>
        <color rgb="FF000000"/>
        <rFont val="Arial"/>
        <family val="2"/>
      </rPr>
      <t>: $</t>
    </r>
  </si>
  <si>
    <r>
      <t>Net Operating Income (NOI)</t>
    </r>
    <r>
      <rPr>
        <sz val="12"/>
        <color rgb="FF000000"/>
        <rFont val="Arial"/>
        <family val="2"/>
      </rPr>
      <t>: $</t>
    </r>
  </si>
  <si>
    <r>
      <t>Capital Expenditures</t>
    </r>
    <r>
      <rPr>
        <sz val="12"/>
        <color rgb="FF000000"/>
        <rFont val="Arial"/>
        <family val="2"/>
      </rPr>
      <t>: $ (unit renovations and common area upgrades)</t>
    </r>
  </si>
  <si>
    <t>Debt Service Coverage Ratio:</t>
  </si>
  <si>
    <t>Property Financial Results</t>
  </si>
  <si>
    <t>Since Inception</t>
  </si>
  <si>
    <r>
      <t>Total Revenues</t>
    </r>
    <r>
      <rPr>
        <sz val="12"/>
        <color rgb="FF000000"/>
        <rFont val="Arial"/>
        <family val="2"/>
      </rPr>
      <t>: $</t>
    </r>
  </si>
  <si>
    <r>
      <t>Debt Service &amp; Other</t>
    </r>
    <r>
      <rPr>
        <sz val="12"/>
        <color rgb="FF000000"/>
        <rFont val="Arial"/>
        <family val="2"/>
      </rPr>
      <t>: $</t>
    </r>
  </si>
  <si>
    <r>
      <t>Capital Improvements</t>
    </r>
    <r>
      <rPr>
        <sz val="12"/>
        <color rgb="FF000000"/>
        <rFont val="Arial"/>
        <family val="2"/>
      </rPr>
      <t>: $</t>
    </r>
  </si>
  <si>
    <t>Avg. Occupancy</t>
  </si>
  <si>
    <t>Inception: April 8, 2025</t>
  </si>
  <si>
    <r>
      <t>Operating Cash Flow (After Debt Service)</t>
    </r>
    <r>
      <rPr>
        <sz val="12"/>
        <color rgb="FF000000"/>
        <rFont val="Arial"/>
        <family val="2"/>
      </rPr>
      <t>: $</t>
    </r>
  </si>
  <si>
    <r>
      <t>Operating Expenses</t>
    </r>
    <r>
      <rPr>
        <sz val="12"/>
        <color rgb="FF000000"/>
        <rFont val="Arial"/>
        <family val="2"/>
      </rPr>
      <t>: $ (includes property taxes, insurance, maintenance)</t>
    </r>
  </si>
  <si>
    <t xml:space="preserve">      Security Deposits</t>
  </si>
  <si>
    <t>Gross Operating Profit</t>
  </si>
  <si>
    <t>Total Other Expenses</t>
  </si>
  <si>
    <t>Total Operating Expenses</t>
  </si>
  <si>
    <t>Supplies - Cleaning and Maitenance</t>
  </si>
  <si>
    <t>Cleaning and Maintenance -Other</t>
  </si>
  <si>
    <t>Permits &amp; Licenses</t>
  </si>
  <si>
    <t>Elevator</t>
  </si>
  <si>
    <t>Pool</t>
  </si>
  <si>
    <t>Pest Control</t>
  </si>
  <si>
    <t>Landscaping</t>
  </si>
  <si>
    <t>Legal</t>
  </si>
  <si>
    <t>Realtor Commissions</t>
  </si>
  <si>
    <t>Management fees</t>
  </si>
  <si>
    <t>Plumbing</t>
  </si>
  <si>
    <t>HVAC (Heat, Ventilation, Air)</t>
  </si>
  <si>
    <t>General Maintenance Labor</t>
  </si>
  <si>
    <t>Key/Lock Replacement</t>
  </si>
  <si>
    <t>Supplies - R&amp;M</t>
  </si>
  <si>
    <t>Supplies - HVAC</t>
  </si>
  <si>
    <t>Electricity</t>
  </si>
  <si>
    <t>Water &amp; Sewer</t>
  </si>
  <si>
    <t>Garbage and Recycling</t>
  </si>
  <si>
    <t>Appfolio/Software Charges</t>
  </si>
  <si>
    <t>Postage &amp; Delivery</t>
  </si>
  <si>
    <t>Misc. Expense/Other Gen &amp; Admin Charges</t>
  </si>
  <si>
    <t>Tenant Security Deposit Insurance</t>
  </si>
  <si>
    <t>Advertising</t>
  </si>
  <si>
    <t>NET OPERATING INCOME</t>
  </si>
  <si>
    <t>Remodeling Costs</t>
  </si>
  <si>
    <t xml:space="preserve">    Loan Interest Expense</t>
  </si>
  <si>
    <t xml:space="preserve">    Net Operating Income after Debt Service</t>
  </si>
  <si>
    <t>Administrative</t>
  </si>
  <si>
    <t>Asset</t>
  </si>
  <si>
    <t>Asset Type</t>
  </si>
  <si>
    <t>Details</t>
  </si>
  <si>
    <t>Acquisition date</t>
  </si>
  <si>
    <t>Purchase price</t>
  </si>
  <si>
    <t>life</t>
  </si>
  <si>
    <t>Building</t>
  </si>
  <si>
    <t>Land</t>
  </si>
  <si>
    <t>Purchase price allocation</t>
  </si>
  <si>
    <t>Equipment</t>
  </si>
  <si>
    <t>Improvements</t>
  </si>
  <si>
    <t>Closing Costs</t>
  </si>
  <si>
    <t>Closing Costs Allocation</t>
  </si>
  <si>
    <t>Units 123 and 114 - remodels</t>
  </si>
  <si>
    <t>Drainage</t>
  </si>
  <si>
    <t>Total</t>
  </si>
  <si>
    <t>Appliances</t>
  </si>
  <si>
    <t>Remodel-Gen. Maintenance Labor</t>
  </si>
  <si>
    <t>Remodel - Supplies</t>
  </si>
  <si>
    <t>Remodel-Exterior Renovations</t>
  </si>
  <si>
    <t>Drainage/Storm water</t>
  </si>
  <si>
    <t>As of 9/30/2025</t>
  </si>
  <si>
    <t xml:space="preserve">      Accounts Receivable Intercompany</t>
  </si>
  <si>
    <t>January 1, 2025 through September 30, 2025</t>
  </si>
  <si>
    <t>% of Selected Month</t>
  </si>
  <si>
    <t>% of Year to Month End</t>
  </si>
  <si>
    <t xml:space="preserve">            Pet Fee-Non Refundable</t>
  </si>
  <si>
    <t xml:space="preserve">            Administration Fee</t>
  </si>
  <si>
    <t xml:space="preserve">            Carpet Cleaning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</si>
  <si>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10/14/2025 07:25 PM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</si>
  <si>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09/30/2025</t>
    </r>
  </si>
  <si>
    <t>At 9-30-2025</t>
  </si>
  <si>
    <t>4430: Pet Fee-Non Refundable</t>
  </si>
  <si>
    <t>4445: Administration Fee</t>
  </si>
  <si>
    <t>6071: Carpet Cleaning</t>
  </si>
  <si>
    <t>7060: Landscaping</t>
  </si>
  <si>
    <t>Actual Q3</t>
  </si>
  <si>
    <t>quarters 2</t>
  </si>
  <si>
    <t>April 9, 2025 through September 30, 2025</t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</si>
  <si>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Sept 2025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</si>
  <si>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Jun 2025</t>
    </r>
  </si>
  <si>
    <t>Year to Date</t>
  </si>
  <si>
    <t>Quarter Ended</t>
  </si>
  <si>
    <t>Unit</t>
  </si>
  <si>
    <t>Name</t>
  </si>
  <si>
    <t>Tenant Status</t>
  </si>
  <si>
    <t>Tags</t>
  </si>
  <si>
    <t>Phone Numbers</t>
  </si>
  <si>
    <t>Move In</t>
  </si>
  <si>
    <t>Move Out</t>
  </si>
  <si>
    <t>Amount Receivable</t>
  </si>
  <si>
    <t>Delinquent Subsidy Amount</t>
  </si>
  <si>
    <t>0-30</t>
  </si>
  <si>
    <t>30+</t>
  </si>
  <si>
    <t>LeaseLock</t>
  </si>
  <si>
    <t>Past</t>
  </si>
  <si>
    <t>Pouncy, Shawn</t>
  </si>
  <si>
    <t>Joseph, Mannes</t>
  </si>
  <si>
    <t>Mobile: (786) 991-5452</t>
  </si>
  <si>
    <t>Mitchell , Annmarie Marcia</t>
  </si>
  <si>
    <t>Home: (954) 901-6814</t>
  </si>
  <si>
    <t>Zephir, Walando</t>
  </si>
  <si>
    <t>Phone: (754) 207-9389</t>
  </si>
  <si>
    <t>Simms, Elizabeth</t>
  </si>
  <si>
    <t>Home: (754) 204-4281</t>
  </si>
  <si>
    <t>Schieck, Todd</t>
  </si>
  <si>
    <t>Phone: (303) 993-9414</t>
  </si>
  <si>
    <t>Brown, Tracy</t>
  </si>
  <si>
    <t>Home: (954) 391-0478</t>
  </si>
  <si>
    <t>Hyacinthe, Albertha</t>
  </si>
  <si>
    <t>Home: (954) 483-5709</t>
  </si>
  <si>
    <t>St-Armond, Geminiaya</t>
  </si>
  <si>
    <t>Phone: (786) 436-6053</t>
  </si>
  <si>
    <t>Othelot, Aaliyah</t>
  </si>
  <si>
    <t>Home: (305) 509-9578</t>
  </si>
  <si>
    <t>Allen , Karrington</t>
  </si>
  <si>
    <t>Boyd, Samantha</t>
  </si>
  <si>
    <t>Home: (813) 822-1101</t>
  </si>
  <si>
    <t>Pinet, Wilene</t>
  </si>
  <si>
    <t>Home: (305) 305-1241</t>
  </si>
  <si>
    <t>-&gt; Allaire on 41st St - 5525 SW 41 St Pembroke Park, FL 33023</t>
  </si>
  <si>
    <t xml:space="preserve">            Bad debt</t>
  </si>
  <si>
    <r>
      <rPr>
        <b/>
        <sz val="9"/>
        <rFont val="Arial"/>
      </rPr>
      <t xml:space="preserve">Exported On: </t>
    </r>
    <r>
      <rPr>
        <sz val="9"/>
        <rFont val="Arial"/>
      </rPr>
      <t>11/05/2025 09:20 PM</t>
    </r>
  </si>
  <si>
    <r>
      <rPr>
        <b/>
        <sz val="11"/>
        <rFont val="Arial"/>
      </rPr>
      <t>Cruise Property Management</t>
    </r>
  </si>
  <si>
    <r>
      <rPr>
        <b/>
        <sz val="11"/>
        <rFont val="Arial"/>
      </rPr>
      <t xml:space="preserve">Properties: </t>
    </r>
    <r>
      <rPr>
        <sz val="11"/>
        <rFont val="Arial"/>
      </rPr>
      <t>Active</t>
    </r>
  </si>
  <si>
    <r>
      <rPr>
        <b/>
        <sz val="11"/>
        <rFont val="Arial"/>
      </rPr>
      <t xml:space="preserve">As of: </t>
    </r>
    <r>
      <rPr>
        <sz val="11"/>
        <rFont val="Arial"/>
      </rPr>
      <t>Sep 2025</t>
    </r>
  </si>
  <si>
    <r>
      <rPr>
        <b/>
        <sz val="11"/>
        <rFont val="Arial"/>
      </rPr>
      <t xml:space="preserve">Accounting Basis: </t>
    </r>
    <r>
      <rPr>
        <sz val="11"/>
        <rFont val="Arial"/>
      </rPr>
      <t>Accrual</t>
    </r>
  </si>
  <si>
    <r>
      <rPr>
        <b/>
        <sz val="11"/>
        <rFont val="Arial"/>
      </rPr>
      <t xml:space="preserve">Level of Detail: </t>
    </r>
    <r>
      <rPr>
        <sz val="11"/>
        <rFont val="Arial"/>
      </rPr>
      <t>Detail View</t>
    </r>
  </si>
  <si>
    <r>
      <rPr>
        <b/>
        <sz val="11"/>
        <rFont val="Arial"/>
      </rPr>
      <t xml:space="preserve">Include Zero Balance GL Accounts: </t>
    </r>
    <r>
      <rPr>
        <sz val="11"/>
        <rFont val="Arial"/>
      </rPr>
      <t>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</si>
</sst>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\-#,##0.00"/>
    <numFmt numFmtId="165" formatCode="_(&quot;$&quot;* #,##0_);_(&quot;$&quot;* \(#,##0\);_(&quot;$&quot;* &quot;-&quot;??_);_(@_)"/>
    <numFmt numFmtId="166" formatCode="&quot;$&quot;* #,##0.00"/>
    <numFmt numFmtId="167" formatCode="_(* #,##0_);_(* \(#,##0\);_(* &quot;-&quot;??_);_(@_)"/>
    <numFmt numFmtId="168" formatCode="#,##0.00000000000_);[Red]\(#,##0.00000000000\)"/>
    <numFmt numFmtId="169" formatCode="0.0%"/>
    <numFmt numFmtId="170" formatCode="_-&quot;$&quot;* #,##0_-;\-&quot;$&quot;* #,##0_-;_-&quot;$&quot;* &quot;-&quot;??_-;_-@_-"/>
    <numFmt numFmtId="171" formatCode="&quot;$&quot;#,##0.00"/>
    <numFmt numFmtId="172" formatCode="_([$$-409]* #,##0_);_([$$-409]* \(#,##0\);_([$$-409]* &quot;-&quot;_);_(@_)"/>
    <numFmt numFmtId="173" formatCode="#,##0.0_);[Red]\(#,##0.0\)"/>
  </numFmts>
  <fonts count="50">
    <font>
      <sz val="11"/>
      <name val="Arial"/>
      <family val="1"/>
    </font>
    <font>
      <sz val="11"/>
      <color theme="1"/>
      <name val="Aptos Narrow"/>
      <family val="2"/>
      <scheme val="minor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4"/>
      <name val="Verdana"/>
      <family val="2"/>
    </font>
    <font>
      <sz val="10"/>
      <name val="Verdana"/>
      <family val="2"/>
    </font>
    <font>
      <b/>
      <sz val="12"/>
      <name val="Verdana"/>
      <family val="2"/>
    </font>
    <font>
      <sz val="12"/>
      <name val="Verdana"/>
      <family val="2"/>
    </font>
    <font>
      <b/>
      <sz val="10"/>
      <name val="Verdana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Arial"/>
      <family val="1"/>
    </font>
    <font>
      <sz val="6"/>
      <name val="Arial"/>
      <family val="2"/>
    </font>
    <font>
      <b/>
      <u/>
      <sz val="8"/>
      <name val="Arial"/>
      <family val="2"/>
    </font>
    <font>
      <sz val="8"/>
      <color theme="1"/>
      <name val="Arial"/>
      <family val="2"/>
    </font>
    <font>
      <sz val="6"/>
      <color theme="1"/>
      <name val="Arial"/>
      <family val="2"/>
    </font>
    <font>
      <b/>
      <sz val="6"/>
      <name val="Arial"/>
      <family val="2"/>
    </font>
    <font>
      <b/>
      <sz val="10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  <font>
      <sz val="8"/>
      <color rgb="FF000000"/>
      <name val="Arial"/>
      <family val="2"/>
    </font>
    <font>
      <sz val="7"/>
      <name val="Arial"/>
      <family val="2"/>
    </font>
    <font>
      <sz val="6"/>
      <color theme="0"/>
      <name val="Arial"/>
      <family val="2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303030"/>
      <name val="Arial"/>
      <family val="2"/>
    </font>
    <font>
      <sz val="8"/>
      <name val="Arial"/>
      <family val="1"/>
    </font>
    <font>
      <b/>
      <sz val="9"/>
      <name val="Arial"/>
    </font>
    <font>
      <sz val="9"/>
      <name val="Arial"/>
    </font>
    <font>
      <b/>
      <sz val="11"/>
      <name val="Arial"/>
    </font>
    <font>
      <sz val="11"/>
      <name val="Arial"/>
    </font>
  </fonts>
  <fills count="2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FFFD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0382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9FFED"/>
        <bgColor indexed="64"/>
      </patternFill>
    </fill>
    <fill>
      <patternFill patternType="solid">
        <fgColor theme="3" tint="0.749992370372631"/>
        <bgColor indexed="64"/>
      </patternFill>
    </fill>
  </fills>
  <borders count="63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303030"/>
      </top>
      <bottom/>
      <diagonal/>
    </border>
    <border>
      <left/>
      <right/>
      <top style="medium">
        <color rgb="FF303030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indexed="64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rgb="FF000000"/>
      </bottom>
      <diagonal/>
    </border>
    <border>
      <left/>
      <right/>
      <top style="thin">
        <color auto="1"/>
      </top>
      <bottom style="double">
        <color rgb="FF000000"/>
      </bottom>
      <diagonal/>
    </border>
    <border>
      <left/>
      <right style="medium">
        <color auto="1"/>
      </right>
      <top style="thin">
        <color auto="1"/>
      </top>
      <bottom style="double">
        <color rgb="FF000000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auto="1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5" fillId="0" borderId="0"/>
    <xf numFmtId="0" fontId="17" fillId="0" borderId="0" applyFill="0"/>
    <xf numFmtId="4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7" fillId="0" borderId="0" applyFill="0"/>
    <xf numFmtId="4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474">
    <xf numFmtId="0" fontId="0" fillId="0" borderId="0" xfId="0"/>
    <xf numFmtId="0" fontId="2" fillId="2" borderId="1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/>
    <xf numFmtId="164" fontId="8" fillId="0" borderId="0" xfId="0" applyNumberFormat="1" applyFont="1"/>
    <xf numFmtId="164" fontId="9" fillId="0" borderId="0" xfId="0" applyNumberFormat="1" applyFont="1"/>
    <xf numFmtId="164" fontId="10" fillId="0" borderId="2" xfId="0" applyNumberFormat="1" applyFont="1" applyBorder="1"/>
    <xf numFmtId="0" fontId="3" fillId="5" borderId="0" xfId="0" applyFont="1" applyFill="1"/>
    <xf numFmtId="164" fontId="7" fillId="0" borderId="0" xfId="0" applyNumberFormat="1" applyFont="1"/>
    <xf numFmtId="164" fontId="6" fillId="0" borderId="0" xfId="0" applyNumberFormat="1" applyFont="1"/>
    <xf numFmtId="164" fontId="7" fillId="0" borderId="2" xfId="0" applyNumberFormat="1" applyFont="1" applyBorder="1"/>
    <xf numFmtId="164" fontId="7" fillId="0" borderId="3" xfId="0" applyNumberFormat="1" applyFont="1" applyBorder="1"/>
    <xf numFmtId="0" fontId="6" fillId="6" borderId="0" xfId="0" applyFont="1" applyFill="1"/>
    <xf numFmtId="164" fontId="0" fillId="0" borderId="0" xfId="0" applyNumberFormat="1"/>
    <xf numFmtId="0" fontId="17" fillId="0" borderId="0" xfId="1" applyFont="1"/>
    <xf numFmtId="0" fontId="17" fillId="0" borderId="0" xfId="2"/>
    <xf numFmtId="0" fontId="17" fillId="0" borderId="0" xfId="1" applyFont="1" applyAlignment="1">
      <alignment wrapText="1"/>
    </xf>
    <xf numFmtId="0" fontId="20" fillId="0" borderId="0" xfId="1" applyFont="1" applyAlignment="1">
      <alignment horizontal="center" wrapText="1"/>
    </xf>
    <xf numFmtId="0" fontId="20" fillId="0" borderId="0" xfId="1" applyFont="1" applyAlignment="1">
      <alignment horizontal="left" wrapText="1"/>
    </xf>
    <xf numFmtId="4" fontId="17" fillId="0" borderId="0" xfId="1" applyNumberFormat="1" applyFont="1" applyAlignment="1">
      <alignment wrapText="1"/>
    </xf>
    <xf numFmtId="0" fontId="17" fillId="0" borderId="0" xfId="1" applyFont="1" applyAlignment="1">
      <alignment horizontal="left" wrapText="1"/>
    </xf>
    <xf numFmtId="3" fontId="17" fillId="0" borderId="0" xfId="1" applyNumberFormat="1" applyFont="1" applyAlignment="1">
      <alignment horizontal="right" wrapText="1"/>
    </xf>
    <xf numFmtId="166" fontId="20" fillId="0" borderId="0" xfId="1" applyNumberFormat="1" applyFont="1" applyAlignment="1">
      <alignment horizontal="right" wrapText="1"/>
    </xf>
    <xf numFmtId="3" fontId="17" fillId="0" borderId="0" xfId="1" applyNumberFormat="1" applyFont="1" applyAlignment="1">
      <alignment wrapText="1"/>
    </xf>
    <xf numFmtId="167" fontId="17" fillId="0" borderId="0" xfId="4" applyNumberFormat="1" applyFont="1" applyFill="1" applyAlignment="1">
      <alignment horizontal="right" wrapText="1"/>
    </xf>
    <xf numFmtId="44" fontId="17" fillId="0" borderId="0" xfId="2" applyNumberFormat="1"/>
    <xf numFmtId="3" fontId="17" fillId="0" borderId="0" xfId="2" applyNumberFormat="1"/>
    <xf numFmtId="41" fontId="17" fillId="0" borderId="0" xfId="1" applyNumberFormat="1" applyFont="1" applyAlignment="1">
      <alignment horizontal="right" wrapText="1"/>
    </xf>
    <xf numFmtId="0" fontId="21" fillId="0" borderId="0" xfId="1" applyFont="1" applyAlignment="1">
      <alignment horizontal="left" wrapText="1"/>
    </xf>
    <xf numFmtId="4" fontId="22" fillId="0" borderId="0" xfId="1" applyNumberFormat="1" applyFont="1" applyAlignment="1">
      <alignment wrapText="1"/>
    </xf>
    <xf numFmtId="0" fontId="20" fillId="0" borderId="0" xfId="2" applyFont="1"/>
    <xf numFmtId="167" fontId="17" fillId="0" borderId="0" xfId="2" applyNumberFormat="1"/>
    <xf numFmtId="167" fontId="17" fillId="0" borderId="4" xfId="2" applyNumberFormat="1" applyBorder="1"/>
    <xf numFmtId="165" fontId="20" fillId="0" borderId="0" xfId="2" applyNumberFormat="1" applyFont="1"/>
    <xf numFmtId="165" fontId="17" fillId="0" borderId="0" xfId="2" applyNumberFormat="1"/>
    <xf numFmtId="165" fontId="17" fillId="0" borderId="4" xfId="2" applyNumberFormat="1" applyBorder="1"/>
    <xf numFmtId="165" fontId="20" fillId="0" borderId="4" xfId="2" applyNumberFormat="1" applyFont="1" applyBorder="1"/>
    <xf numFmtId="0" fontId="17" fillId="0" borderId="0" xfId="5" applyAlignment="1">
      <alignment horizontal="left"/>
    </xf>
    <xf numFmtId="0" fontId="20" fillId="0" borderId="0" xfId="5" applyFont="1" applyAlignment="1">
      <alignment horizontal="left"/>
    </xf>
    <xf numFmtId="164" fontId="6" fillId="6" borderId="0" xfId="0" applyNumberFormat="1" applyFont="1" applyFill="1"/>
    <xf numFmtId="0" fontId="0" fillId="0" borderId="0" xfId="0" applyAlignment="1">
      <alignment horizontal="center"/>
    </xf>
    <xf numFmtId="40" fontId="0" fillId="0" borderId="0" xfId="0" applyNumberFormat="1"/>
    <xf numFmtId="168" fontId="0" fillId="0" borderId="0" xfId="0" applyNumberFormat="1"/>
    <xf numFmtId="0" fontId="22" fillId="0" borderId="0" xfId="0" applyFont="1"/>
    <xf numFmtId="0" fontId="24" fillId="0" borderId="0" xfId="0" applyFont="1"/>
    <xf numFmtId="169" fontId="24" fillId="0" borderId="0" xfId="7" applyNumberFormat="1" applyFont="1" applyFill="1" applyBorder="1"/>
    <xf numFmtId="167" fontId="22" fillId="0" borderId="0" xfId="4" applyNumberFormat="1" applyFont="1" applyFill="1" applyBorder="1"/>
    <xf numFmtId="167" fontId="24" fillId="0" borderId="0" xfId="4" applyNumberFormat="1" applyFont="1" applyFill="1" applyBorder="1"/>
    <xf numFmtId="169" fontId="24" fillId="0" borderId="5" xfId="7" applyNumberFormat="1" applyFont="1" applyFill="1" applyBorder="1"/>
    <xf numFmtId="169" fontId="22" fillId="0" borderId="0" xfId="7" applyNumberFormat="1" applyFont="1" applyFill="1" applyBorder="1"/>
    <xf numFmtId="10" fontId="26" fillId="11" borderId="16" xfId="7" applyNumberFormat="1" applyFont="1" applyFill="1" applyBorder="1"/>
    <xf numFmtId="0" fontId="22" fillId="10" borderId="17" xfId="0" applyFont="1" applyFill="1" applyBorder="1" applyAlignment="1">
      <alignment horizontal="left" vertical="top"/>
    </xf>
    <xf numFmtId="0" fontId="25" fillId="10" borderId="0" xfId="0" applyFont="1" applyFill="1" applyAlignment="1">
      <alignment horizontal="left" vertical="top"/>
    </xf>
    <xf numFmtId="0" fontId="25" fillId="10" borderId="5" xfId="0" applyFont="1" applyFill="1" applyBorder="1" applyAlignment="1">
      <alignment horizontal="left" vertical="top"/>
    </xf>
    <xf numFmtId="10" fontId="26" fillId="10" borderId="16" xfId="7" applyNumberFormat="1" applyFont="1" applyFill="1" applyBorder="1"/>
    <xf numFmtId="0" fontId="22" fillId="8" borderId="14" xfId="0" applyFont="1" applyFill="1" applyBorder="1" applyAlignment="1">
      <alignment horizontal="center"/>
    </xf>
    <xf numFmtId="0" fontId="22" fillId="8" borderId="15" xfId="0" applyFont="1" applyFill="1" applyBorder="1" applyAlignment="1">
      <alignment horizontal="center"/>
    </xf>
    <xf numFmtId="0" fontId="22" fillId="8" borderId="18" xfId="0" applyFont="1" applyFill="1" applyBorder="1" applyAlignment="1">
      <alignment horizontal="center"/>
    </xf>
    <xf numFmtId="10" fontId="26" fillId="11" borderId="22" xfId="7" applyNumberFormat="1" applyFont="1" applyFill="1" applyBorder="1"/>
    <xf numFmtId="0" fontId="22" fillId="10" borderId="23" xfId="0" applyFont="1" applyFill="1" applyBorder="1" applyAlignment="1">
      <alignment horizontal="left" vertical="top"/>
    </xf>
    <xf numFmtId="0" fontId="25" fillId="10" borderId="24" xfId="0" applyFont="1" applyFill="1" applyBorder="1" applyAlignment="1">
      <alignment horizontal="left" vertical="top"/>
    </xf>
    <xf numFmtId="0" fontId="25" fillId="10" borderId="25" xfId="0" applyFont="1" applyFill="1" applyBorder="1" applyAlignment="1">
      <alignment horizontal="left" vertical="top"/>
    </xf>
    <xf numFmtId="10" fontId="27" fillId="0" borderId="0" xfId="7" applyNumberFormat="1" applyFont="1" applyFill="1" applyBorder="1"/>
    <xf numFmtId="0" fontId="22" fillId="0" borderId="24" xfId="0" applyFont="1" applyBorder="1"/>
    <xf numFmtId="167" fontId="21" fillId="0" borderId="0" xfId="4" applyNumberFormat="1" applyFont="1" applyFill="1" applyBorder="1"/>
    <xf numFmtId="167" fontId="28" fillId="0" borderId="0" xfId="4" applyNumberFormat="1" applyFont="1" applyFill="1" applyBorder="1"/>
    <xf numFmtId="0" fontId="21" fillId="0" borderId="10" xfId="0" applyFont="1" applyBorder="1"/>
    <xf numFmtId="0" fontId="29" fillId="12" borderId="8" xfId="0" applyFont="1" applyFill="1" applyBorder="1" applyAlignment="1">
      <alignment horizontal="center" vertical="center"/>
    </xf>
    <xf numFmtId="0" fontId="21" fillId="0" borderId="17" xfId="0" applyFont="1" applyBorder="1" applyAlignment="1">
      <alignment horizontal="left"/>
    </xf>
    <xf numFmtId="0" fontId="22" fillId="0" borderId="17" xfId="0" applyFont="1" applyBorder="1" applyAlignment="1">
      <alignment horizontal="center"/>
    </xf>
    <xf numFmtId="0" fontId="22" fillId="0" borderId="0" xfId="0" applyFont="1" applyAlignment="1">
      <alignment horizontal="center"/>
    </xf>
    <xf numFmtId="169" fontId="22" fillId="0" borderId="5" xfId="7" applyNumberFormat="1" applyFont="1" applyFill="1" applyBorder="1"/>
    <xf numFmtId="14" fontId="28" fillId="0" borderId="0" xfId="0" applyNumberFormat="1" applyFont="1" applyAlignment="1">
      <alignment horizontal="center"/>
    </xf>
    <xf numFmtId="14" fontId="28" fillId="0" borderId="26" xfId="0" applyNumberFormat="1" applyFont="1" applyBorder="1" applyAlignment="1">
      <alignment horizontal="center"/>
    </xf>
    <xf numFmtId="0" fontId="21" fillId="0" borderId="0" xfId="0" applyFont="1" applyAlignment="1">
      <alignment vertical="center"/>
    </xf>
    <xf numFmtId="0" fontId="24" fillId="0" borderId="0" xfId="0" applyFont="1" applyAlignment="1">
      <alignment horizontal="center"/>
    </xf>
    <xf numFmtId="0" fontId="22" fillId="0" borderId="17" xfId="0" applyFont="1" applyBorder="1"/>
    <xf numFmtId="167" fontId="22" fillId="0" borderId="17" xfId="4" applyNumberFormat="1" applyFont="1" applyFill="1" applyBorder="1" applyAlignment="1">
      <alignment horizontal="center"/>
    </xf>
    <xf numFmtId="167" fontId="22" fillId="0" borderId="0" xfId="4" applyNumberFormat="1" applyFont="1" applyFill="1" applyBorder="1" applyAlignment="1">
      <alignment horizontal="center"/>
    </xf>
    <xf numFmtId="169" fontId="22" fillId="0" borderId="5" xfId="7" applyNumberFormat="1" applyFont="1" applyFill="1" applyBorder="1" applyAlignment="1">
      <alignment horizontal="center"/>
    </xf>
    <xf numFmtId="167" fontId="28" fillId="0" borderId="0" xfId="4" applyNumberFormat="1" applyFont="1" applyFill="1" applyBorder="1" applyAlignment="1">
      <alignment horizontal="center"/>
    </xf>
    <xf numFmtId="169" fontId="24" fillId="0" borderId="5" xfId="7" applyNumberFormat="1" applyFont="1" applyFill="1" applyBorder="1" applyAlignment="1">
      <alignment horizontal="center"/>
    </xf>
    <xf numFmtId="169" fontId="22" fillId="0" borderId="0" xfId="7" applyNumberFormat="1" applyFont="1" applyFill="1" applyBorder="1" applyAlignment="1">
      <alignment horizontal="center"/>
    </xf>
    <xf numFmtId="0" fontId="21" fillId="0" borderId="17" xfId="0" applyFont="1" applyBorder="1"/>
    <xf numFmtId="167" fontId="24" fillId="0" borderId="0" xfId="4" applyNumberFormat="1" applyFont="1" applyFill="1" applyBorder="1" applyAlignment="1">
      <alignment horizontal="center"/>
    </xf>
    <xf numFmtId="17" fontId="22" fillId="0" borderId="17" xfId="4" applyNumberFormat="1" applyFont="1" applyFill="1" applyBorder="1" applyAlignment="1">
      <alignment horizontal="center"/>
    </xf>
    <xf numFmtId="169" fontId="24" fillId="0" borderId="0" xfId="7" applyNumberFormat="1" applyFont="1" applyFill="1" applyBorder="1" applyAlignment="1">
      <alignment horizontal="center"/>
    </xf>
    <xf numFmtId="17" fontId="22" fillId="0" borderId="0" xfId="4" applyNumberFormat="1" applyFont="1" applyFill="1" applyBorder="1" applyAlignment="1">
      <alignment horizontal="center"/>
    </xf>
    <xf numFmtId="167" fontId="24" fillId="0" borderId="0" xfId="0" applyNumberFormat="1" applyFont="1" applyAlignment="1">
      <alignment horizontal="center"/>
    </xf>
    <xf numFmtId="167" fontId="22" fillId="0" borderId="4" xfId="4" applyNumberFormat="1" applyFont="1" applyFill="1" applyBorder="1" applyAlignment="1">
      <alignment horizontal="center"/>
    </xf>
    <xf numFmtId="167" fontId="22" fillId="0" borderId="4" xfId="4" applyNumberFormat="1" applyFont="1" applyFill="1" applyBorder="1" applyAlignment="1">
      <alignment horizontal="left"/>
    </xf>
    <xf numFmtId="0" fontId="21" fillId="15" borderId="27" xfId="0" applyFont="1" applyFill="1" applyBorder="1" applyAlignment="1">
      <alignment horizontal="right"/>
    </xf>
    <xf numFmtId="167" fontId="21" fillId="15" borderId="27" xfId="4" applyNumberFormat="1" applyFont="1" applyFill="1" applyBorder="1" applyAlignment="1">
      <alignment horizontal="center"/>
    </xf>
    <xf numFmtId="0" fontId="21" fillId="15" borderId="28" xfId="0" applyFont="1" applyFill="1" applyBorder="1"/>
    <xf numFmtId="167" fontId="21" fillId="15" borderId="28" xfId="4" applyNumberFormat="1" applyFont="1" applyFill="1" applyBorder="1" applyAlignment="1">
      <alignment horizontal="center"/>
    </xf>
    <xf numFmtId="169" fontId="21" fillId="15" borderId="29" xfId="7" applyNumberFormat="1" applyFont="1" applyFill="1" applyBorder="1"/>
    <xf numFmtId="170" fontId="21" fillId="15" borderId="27" xfId="6" applyNumberFormat="1" applyFont="1" applyFill="1" applyBorder="1" applyAlignment="1">
      <alignment horizontal="center"/>
    </xf>
    <xf numFmtId="170" fontId="21" fillId="15" borderId="28" xfId="6" applyNumberFormat="1" applyFont="1" applyFill="1" applyBorder="1" applyAlignment="1">
      <alignment horizontal="center"/>
    </xf>
    <xf numFmtId="169" fontId="21" fillId="15" borderId="27" xfId="7" applyNumberFormat="1" applyFont="1" applyFill="1" applyBorder="1"/>
    <xf numFmtId="169" fontId="21" fillId="15" borderId="30" xfId="7" applyNumberFormat="1" applyFont="1" applyFill="1" applyBorder="1"/>
    <xf numFmtId="169" fontId="21" fillId="15" borderId="28" xfId="7" applyNumberFormat="1" applyFont="1" applyFill="1" applyBorder="1"/>
    <xf numFmtId="170" fontId="21" fillId="15" borderId="30" xfId="6" applyNumberFormat="1" applyFont="1" applyFill="1" applyBorder="1" applyAlignment="1"/>
    <xf numFmtId="170" fontId="22" fillId="0" borderId="0" xfId="6" applyNumberFormat="1" applyFont="1" applyFill="1" applyBorder="1" applyAlignment="1">
      <alignment horizontal="center"/>
    </xf>
    <xf numFmtId="0" fontId="21" fillId="15" borderId="31" xfId="0" applyFont="1" applyFill="1" applyBorder="1" applyAlignment="1">
      <alignment horizontal="right"/>
    </xf>
    <xf numFmtId="167" fontId="30" fillId="15" borderId="31" xfId="4" applyNumberFormat="1" applyFont="1" applyFill="1" applyBorder="1" applyAlignment="1">
      <alignment horizontal="center"/>
    </xf>
    <xf numFmtId="0" fontId="21" fillId="15" borderId="4" xfId="0" applyFont="1" applyFill="1" applyBorder="1"/>
    <xf numFmtId="167" fontId="21" fillId="15" borderId="4" xfId="4" applyNumberFormat="1" applyFont="1" applyFill="1" applyBorder="1" applyAlignment="1">
      <alignment horizontal="center"/>
    </xf>
    <xf numFmtId="169" fontId="21" fillId="15" borderId="32" xfId="7" applyNumberFormat="1" applyFont="1" applyFill="1" applyBorder="1"/>
    <xf numFmtId="167" fontId="21" fillId="15" borderId="31" xfId="4" applyNumberFormat="1" applyFont="1" applyFill="1" applyBorder="1" applyAlignment="1">
      <alignment horizontal="center"/>
    </xf>
    <xf numFmtId="167" fontId="30" fillId="15" borderId="4" xfId="4" applyNumberFormat="1" applyFont="1" applyFill="1" applyBorder="1" applyAlignment="1">
      <alignment horizontal="center"/>
    </xf>
    <xf numFmtId="169" fontId="21" fillId="15" borderId="31" xfId="7" applyNumberFormat="1" applyFont="1" applyFill="1" applyBorder="1" applyAlignment="1">
      <alignment horizontal="right"/>
    </xf>
    <xf numFmtId="169" fontId="21" fillId="15" borderId="4" xfId="7" applyNumberFormat="1" applyFont="1" applyFill="1" applyBorder="1" applyAlignment="1">
      <alignment horizontal="right"/>
    </xf>
    <xf numFmtId="169" fontId="21" fillId="15" borderId="33" xfId="7" applyNumberFormat="1" applyFont="1" applyFill="1" applyBorder="1" applyAlignment="1">
      <alignment horizontal="right"/>
    </xf>
    <xf numFmtId="10" fontId="22" fillId="0" borderId="0" xfId="7" applyNumberFormat="1" applyFont="1" applyFill="1" applyBorder="1" applyAlignment="1">
      <alignment horizontal="right"/>
    </xf>
    <xf numFmtId="10" fontId="22" fillId="0" borderId="0" xfId="7" applyNumberFormat="1" applyFont="1" applyFill="1" applyBorder="1" applyAlignment="1">
      <alignment horizontal="right" vertical="center"/>
    </xf>
    <xf numFmtId="169" fontId="22" fillId="0" borderId="0" xfId="7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49" fontId="32" fillId="0" borderId="17" xfId="0" applyNumberFormat="1" applyFont="1" applyBorder="1" applyAlignment="1">
      <alignment horizontal="left" vertical="center" wrapText="1" indent="1" readingOrder="1"/>
    </xf>
    <xf numFmtId="167" fontId="22" fillId="10" borderId="17" xfId="4" applyNumberFormat="1" applyFont="1" applyFill="1" applyBorder="1"/>
    <xf numFmtId="169" fontId="33" fillId="0" borderId="0" xfId="7" applyNumberFormat="1" applyFont="1" applyFill="1" applyBorder="1"/>
    <xf numFmtId="167" fontId="22" fillId="10" borderId="0" xfId="4" applyNumberFormat="1" applyFont="1" applyFill="1" applyBorder="1"/>
    <xf numFmtId="169" fontId="33" fillId="0" borderId="5" xfId="7" applyNumberFormat="1" applyFont="1" applyFill="1" applyBorder="1"/>
    <xf numFmtId="170" fontId="22" fillId="0" borderId="17" xfId="6" applyNumberFormat="1" applyFont="1" applyFill="1" applyBorder="1" applyAlignment="1">
      <alignment horizontal="left" indent="1"/>
    </xf>
    <xf numFmtId="167" fontId="24" fillId="0" borderId="0" xfId="4" applyNumberFormat="1" applyFont="1" applyFill="1" applyBorder="1" applyAlignment="1">
      <alignment horizontal="right"/>
    </xf>
    <xf numFmtId="167" fontId="22" fillId="0" borderId="17" xfId="4" applyNumberFormat="1" applyFont="1" applyFill="1" applyBorder="1"/>
    <xf numFmtId="169" fontId="24" fillId="0" borderId="34" xfId="7" applyNumberFormat="1" applyFont="1" applyFill="1" applyBorder="1"/>
    <xf numFmtId="170" fontId="22" fillId="0" borderId="0" xfId="6" applyNumberFormat="1" applyFont="1" applyFill="1" applyBorder="1"/>
    <xf numFmtId="169" fontId="22" fillId="0" borderId="34" xfId="7" applyNumberFormat="1" applyFont="1" applyFill="1" applyBorder="1"/>
    <xf numFmtId="0" fontId="22" fillId="0" borderId="0" xfId="0" applyFont="1" applyAlignment="1">
      <alignment horizontal="left"/>
    </xf>
    <xf numFmtId="49" fontId="32" fillId="0" borderId="17" xfId="0" applyNumberFormat="1" applyFont="1" applyBorder="1" applyAlignment="1">
      <alignment horizontal="left" vertical="center" wrapText="1" indent="2" readingOrder="1"/>
    </xf>
    <xf numFmtId="167" fontId="22" fillId="10" borderId="17" xfId="4" applyNumberFormat="1" applyFont="1" applyFill="1" applyBorder="1" applyAlignment="1">
      <alignment horizontal="left" indent="1"/>
    </xf>
    <xf numFmtId="167" fontId="22" fillId="10" borderId="0" xfId="4" applyNumberFormat="1" applyFont="1" applyFill="1" applyBorder="1" applyAlignment="1">
      <alignment horizontal="left" indent="1"/>
    </xf>
    <xf numFmtId="167" fontId="22" fillId="0" borderId="17" xfId="4" applyNumberFormat="1" applyFont="1" applyFill="1" applyBorder="1" applyAlignment="1">
      <alignment horizontal="left" indent="2"/>
    </xf>
    <xf numFmtId="167" fontId="22" fillId="0" borderId="17" xfId="4" applyNumberFormat="1" applyFont="1" applyFill="1" applyBorder="1" applyAlignment="1">
      <alignment horizontal="left" indent="1"/>
    </xf>
    <xf numFmtId="167" fontId="22" fillId="0" borderId="0" xfId="4" applyNumberFormat="1" applyFont="1" applyFill="1" applyBorder="1" applyAlignment="1">
      <alignment horizontal="left" indent="1"/>
    </xf>
    <xf numFmtId="10" fontId="22" fillId="0" borderId="0" xfId="0" applyNumberFormat="1" applyFont="1" applyAlignment="1">
      <alignment horizontal="left"/>
    </xf>
    <xf numFmtId="167" fontId="22" fillId="0" borderId="27" xfId="4" applyNumberFormat="1" applyFont="1" applyFill="1" applyBorder="1"/>
    <xf numFmtId="169" fontId="33" fillId="0" borderId="28" xfId="7" applyNumberFormat="1" applyFont="1" applyFill="1" applyBorder="1"/>
    <xf numFmtId="167" fontId="22" fillId="0" borderId="28" xfId="4" applyNumberFormat="1" applyFont="1" applyFill="1" applyBorder="1"/>
    <xf numFmtId="169" fontId="33" fillId="0" borderId="29" xfId="7" applyNumberFormat="1" applyFont="1" applyFill="1" applyBorder="1"/>
    <xf numFmtId="167" fontId="24" fillId="0" borderId="28" xfId="4" applyNumberFormat="1" applyFont="1" applyFill="1" applyBorder="1" applyAlignment="1">
      <alignment horizontal="right"/>
    </xf>
    <xf numFmtId="169" fontId="24" fillId="0" borderId="29" xfId="7" applyNumberFormat="1" applyFont="1" applyFill="1" applyBorder="1"/>
    <xf numFmtId="169" fontId="24" fillId="0" borderId="30" xfId="7" applyNumberFormat="1" applyFont="1" applyFill="1" applyBorder="1"/>
    <xf numFmtId="167" fontId="24" fillId="0" borderId="28" xfId="0" applyNumberFormat="1" applyFont="1" applyBorder="1" applyAlignment="1">
      <alignment horizontal="right"/>
    </xf>
    <xf numFmtId="5" fontId="34" fillId="0" borderId="0" xfId="4" applyNumberFormat="1" applyFont="1" applyFill="1" applyBorder="1" applyAlignment="1">
      <alignment horizontal="right"/>
    </xf>
    <xf numFmtId="5" fontId="35" fillId="0" borderId="0" xfId="0" applyNumberFormat="1" applyFont="1" applyAlignment="1">
      <alignment horizontal="right"/>
    </xf>
    <xf numFmtId="49" fontId="32" fillId="0" borderId="17" xfId="0" applyNumberFormat="1" applyFont="1" applyBorder="1" applyAlignment="1">
      <alignment horizontal="left" vertical="center" wrapText="1" indent="3" readingOrder="1"/>
    </xf>
    <xf numFmtId="49" fontId="32" fillId="10" borderId="17" xfId="0" applyNumberFormat="1" applyFont="1" applyFill="1" applyBorder="1" applyAlignment="1">
      <alignment horizontal="left" vertical="center" wrapText="1" indent="3" readingOrder="1"/>
    </xf>
    <xf numFmtId="0" fontId="33" fillId="0" borderId="28" xfId="7" applyNumberFormat="1" applyFont="1" applyFill="1" applyBorder="1"/>
    <xf numFmtId="170" fontId="22" fillId="0" borderId="27" xfId="6" applyNumberFormat="1" applyFont="1" applyFill="1" applyBorder="1"/>
    <xf numFmtId="49" fontId="32" fillId="0" borderId="17" xfId="0" applyNumberFormat="1" applyFont="1" applyBorder="1" applyAlignment="1">
      <alignment horizontal="left" vertical="center" wrapText="1" readingOrder="1"/>
    </xf>
    <xf numFmtId="167" fontId="32" fillId="0" borderId="17" xfId="4" applyNumberFormat="1" applyFont="1" applyFill="1" applyBorder="1" applyAlignment="1">
      <alignment horizontal="left" vertical="center" wrapText="1" readingOrder="1"/>
    </xf>
    <xf numFmtId="167" fontId="32" fillId="0" borderId="0" xfId="4" applyNumberFormat="1" applyFont="1" applyFill="1" applyBorder="1" applyAlignment="1">
      <alignment horizontal="left" vertical="center" wrapText="1" readingOrder="1"/>
    </xf>
    <xf numFmtId="167" fontId="36" fillId="0" borderId="0" xfId="4" applyNumberFormat="1" applyFont="1" applyFill="1" applyBorder="1" applyAlignment="1">
      <alignment horizontal="left" vertical="center" wrapText="1" readingOrder="1"/>
    </xf>
    <xf numFmtId="167" fontId="36" fillId="0" borderId="0" xfId="0" applyNumberFormat="1" applyFont="1" applyAlignment="1">
      <alignment horizontal="left" vertical="center" wrapText="1" readingOrder="1"/>
    </xf>
    <xf numFmtId="167" fontId="24" fillId="0" borderId="0" xfId="0" applyNumberFormat="1" applyFont="1"/>
    <xf numFmtId="167" fontId="22" fillId="10" borderId="17" xfId="4" applyNumberFormat="1" applyFont="1" applyFill="1" applyBorder="1" applyAlignment="1"/>
    <xf numFmtId="167" fontId="22" fillId="10" borderId="0" xfId="4" applyNumberFormat="1" applyFont="1" applyFill="1" applyBorder="1" applyAlignment="1"/>
    <xf numFmtId="170" fontId="22" fillId="10" borderId="17" xfId="6" applyNumberFormat="1" applyFont="1" applyFill="1" applyBorder="1" applyAlignment="1"/>
    <xf numFmtId="167" fontId="22" fillId="0" borderId="17" xfId="4" applyNumberFormat="1" applyFont="1" applyFill="1" applyBorder="1" applyAlignment="1"/>
    <xf numFmtId="167" fontId="22" fillId="0" borderId="0" xfId="4" applyNumberFormat="1" applyFont="1" applyFill="1" applyBorder="1" applyAlignment="1"/>
    <xf numFmtId="167" fontId="22" fillId="0" borderId="4" xfId="4" applyNumberFormat="1" applyFont="1" applyFill="1" applyBorder="1"/>
    <xf numFmtId="169" fontId="22" fillId="0" borderId="33" xfId="7" applyNumberFormat="1" applyFont="1" applyFill="1" applyBorder="1"/>
    <xf numFmtId="49" fontId="32" fillId="10" borderId="17" xfId="0" applyNumberFormat="1" applyFont="1" applyFill="1" applyBorder="1" applyAlignment="1">
      <alignment horizontal="left" vertical="center" wrapText="1" indent="2" readingOrder="1"/>
    </xf>
    <xf numFmtId="167" fontId="36" fillId="0" borderId="34" xfId="4" applyNumberFormat="1" applyFont="1" applyFill="1" applyBorder="1" applyAlignment="1">
      <alignment horizontal="left" vertical="center" wrapText="1" readingOrder="1"/>
    </xf>
    <xf numFmtId="167" fontId="37" fillId="0" borderId="0" xfId="4" applyNumberFormat="1" applyFont="1" applyFill="1" applyBorder="1" applyAlignment="1">
      <alignment horizontal="left" vertical="center" wrapText="1" readingOrder="1"/>
    </xf>
    <xf numFmtId="0" fontId="22" fillId="0" borderId="17" xfId="0" applyFont="1" applyBorder="1" applyAlignment="1">
      <alignment horizontal="left" indent="1"/>
    </xf>
    <xf numFmtId="167" fontId="22" fillId="0" borderId="35" xfId="4" applyNumberFormat="1" applyFont="1" applyFill="1" applyBorder="1"/>
    <xf numFmtId="169" fontId="33" fillId="0" borderId="36" xfId="7" applyNumberFormat="1" applyFont="1" applyFill="1" applyBorder="1"/>
    <xf numFmtId="167" fontId="22" fillId="0" borderId="36" xfId="4" applyNumberFormat="1" applyFont="1" applyFill="1" applyBorder="1"/>
    <xf numFmtId="169" fontId="33" fillId="0" borderId="37" xfId="7" applyNumberFormat="1" applyFont="1" applyFill="1" applyBorder="1"/>
    <xf numFmtId="170" fontId="22" fillId="0" borderId="35" xfId="6" applyNumberFormat="1" applyFont="1" applyFill="1" applyBorder="1"/>
    <xf numFmtId="167" fontId="24" fillId="0" borderId="36" xfId="4" applyNumberFormat="1" applyFont="1" applyFill="1" applyBorder="1"/>
    <xf numFmtId="169" fontId="24" fillId="0" borderId="37" xfId="7" applyNumberFormat="1" applyFont="1" applyFill="1" applyBorder="1"/>
    <xf numFmtId="169" fontId="24" fillId="0" borderId="38" xfId="7" applyNumberFormat="1" applyFont="1" applyFill="1" applyBorder="1"/>
    <xf numFmtId="0" fontId="31" fillId="16" borderId="0" xfId="0" applyFont="1" applyFill="1" applyAlignment="1">
      <alignment horizontal="left" vertical="center" indent="1"/>
    </xf>
    <xf numFmtId="0" fontId="31" fillId="16" borderId="5" xfId="0" applyFont="1" applyFill="1" applyBorder="1" applyAlignment="1">
      <alignment horizontal="left" vertical="center" indent="1"/>
    </xf>
    <xf numFmtId="167" fontId="22" fillId="0" borderId="0" xfId="4" applyNumberFormat="1" applyFont="1" applyFill="1" applyBorder="1" applyAlignment="1">
      <alignment vertical="center"/>
    </xf>
    <xf numFmtId="169" fontId="22" fillId="0" borderId="34" xfId="7" applyNumberFormat="1" applyFont="1" applyFill="1" applyBorder="1" applyAlignment="1">
      <alignment vertical="center"/>
    </xf>
    <xf numFmtId="170" fontId="22" fillId="10" borderId="17" xfId="6" applyNumberFormat="1" applyFont="1" applyFill="1" applyBorder="1"/>
    <xf numFmtId="49" fontId="32" fillId="15" borderId="17" xfId="0" applyNumberFormat="1" applyFont="1" applyFill="1" applyBorder="1" applyAlignment="1">
      <alignment horizontal="left" vertical="center" wrapText="1" indent="1" readingOrder="1"/>
    </xf>
    <xf numFmtId="167" fontId="22" fillId="15" borderId="17" xfId="4" applyNumberFormat="1" applyFont="1" applyFill="1" applyBorder="1"/>
    <xf numFmtId="169" fontId="33" fillId="15" borderId="0" xfId="7" applyNumberFormat="1" applyFont="1" applyFill="1" applyBorder="1"/>
    <xf numFmtId="167" fontId="22" fillId="15" borderId="0" xfId="4" applyNumberFormat="1" applyFont="1" applyFill="1" applyBorder="1"/>
    <xf numFmtId="169" fontId="33" fillId="15" borderId="5" xfId="7" applyNumberFormat="1" applyFont="1" applyFill="1" applyBorder="1"/>
    <xf numFmtId="167" fontId="24" fillId="15" borderId="0" xfId="4" applyNumberFormat="1" applyFont="1" applyFill="1" applyBorder="1" applyAlignment="1">
      <alignment horizontal="right"/>
    </xf>
    <xf numFmtId="169" fontId="24" fillId="15" borderId="5" xfId="7" applyNumberFormat="1" applyFont="1" applyFill="1" applyBorder="1"/>
    <xf numFmtId="169" fontId="24" fillId="15" borderId="34" xfId="7" applyNumberFormat="1" applyFont="1" applyFill="1" applyBorder="1"/>
    <xf numFmtId="167" fontId="22" fillId="15" borderId="0" xfId="4" applyNumberFormat="1" applyFont="1" applyFill="1" applyBorder="1" applyAlignment="1"/>
    <xf numFmtId="167" fontId="24" fillId="10" borderId="0" xfId="4" applyNumberFormat="1" applyFont="1" applyFill="1" applyBorder="1" applyAlignment="1">
      <alignment horizontal="right"/>
    </xf>
    <xf numFmtId="49" fontId="32" fillId="10" borderId="17" xfId="0" applyNumberFormat="1" applyFont="1" applyFill="1" applyBorder="1" applyAlignment="1">
      <alignment horizontal="left" vertical="center" wrapText="1" indent="1" readingOrder="1"/>
    </xf>
    <xf numFmtId="167" fontId="22" fillId="8" borderId="17" xfId="4" applyNumberFormat="1" applyFont="1" applyFill="1" applyBorder="1" applyAlignment="1"/>
    <xf numFmtId="167" fontId="22" fillId="15" borderId="17" xfId="4" applyNumberFormat="1" applyFont="1" applyFill="1" applyBorder="1" applyAlignment="1"/>
    <xf numFmtId="167" fontId="33" fillId="15" borderId="0" xfId="4" applyNumberFormat="1" applyFont="1" applyFill="1" applyBorder="1" applyAlignment="1"/>
    <xf numFmtId="167" fontId="33" fillId="15" borderId="5" xfId="4" applyNumberFormat="1" applyFont="1" applyFill="1" applyBorder="1" applyAlignment="1"/>
    <xf numFmtId="167" fontId="24" fillId="15" borderId="0" xfId="4" applyNumberFormat="1" applyFont="1" applyFill="1" applyBorder="1" applyAlignment="1"/>
    <xf numFmtId="167" fontId="24" fillId="15" borderId="5" xfId="4" applyNumberFormat="1" applyFont="1" applyFill="1" applyBorder="1" applyAlignment="1"/>
    <xf numFmtId="167" fontId="24" fillId="15" borderId="34" xfId="4" applyNumberFormat="1" applyFont="1" applyFill="1" applyBorder="1" applyAlignment="1"/>
    <xf numFmtId="169" fontId="33" fillId="0" borderId="15" xfId="7" applyNumberFormat="1" applyFont="1" applyFill="1" applyBorder="1"/>
    <xf numFmtId="167" fontId="33" fillId="0" borderId="29" xfId="4" applyNumberFormat="1" applyFont="1" applyFill="1" applyBorder="1" applyAlignment="1">
      <alignment horizontal="right"/>
    </xf>
    <xf numFmtId="0" fontId="22" fillId="0" borderId="17" xfId="0" applyFont="1" applyBorder="1" applyAlignment="1">
      <alignment horizontal="left" indent="2"/>
    </xf>
    <xf numFmtId="167" fontId="33" fillId="0" borderId="5" xfId="4" applyNumberFormat="1" applyFont="1" applyFill="1" applyBorder="1" applyAlignment="1">
      <alignment horizontal="right"/>
    </xf>
    <xf numFmtId="167" fontId="22" fillId="8" borderId="17" xfId="4" applyNumberFormat="1" applyFont="1" applyFill="1" applyBorder="1"/>
    <xf numFmtId="167" fontId="24" fillId="0" borderId="0" xfId="0" applyNumberFormat="1" applyFont="1" applyAlignment="1">
      <alignment horizontal="right"/>
    </xf>
    <xf numFmtId="167" fontId="22" fillId="0" borderId="39" xfId="4" applyNumberFormat="1" applyFont="1" applyFill="1" applyBorder="1"/>
    <xf numFmtId="169" fontId="33" fillId="0" borderId="40" xfId="7" applyNumberFormat="1" applyFont="1" applyFill="1" applyBorder="1"/>
    <xf numFmtId="167" fontId="22" fillId="0" borderId="40" xfId="4" applyNumberFormat="1" applyFont="1" applyFill="1" applyBorder="1"/>
    <xf numFmtId="167" fontId="33" fillId="0" borderId="41" xfId="4" applyNumberFormat="1" applyFont="1" applyFill="1" applyBorder="1"/>
    <xf numFmtId="170" fontId="22" fillId="0" borderId="39" xfId="6" applyNumberFormat="1" applyFont="1" applyFill="1" applyBorder="1"/>
    <xf numFmtId="167" fontId="24" fillId="0" borderId="40" xfId="4" applyNumberFormat="1" applyFont="1" applyFill="1" applyBorder="1"/>
    <xf numFmtId="169" fontId="24" fillId="0" borderId="41" xfId="7" applyNumberFormat="1" applyFont="1" applyFill="1" applyBorder="1"/>
    <xf numFmtId="167" fontId="24" fillId="0" borderId="36" xfId="0" applyNumberFormat="1" applyFont="1" applyBorder="1"/>
    <xf numFmtId="167" fontId="22" fillId="0" borderId="23" xfId="4" applyNumberFormat="1" applyFont="1" applyFill="1" applyBorder="1"/>
    <xf numFmtId="0" fontId="22" fillId="0" borderId="24" xfId="0" applyFont="1" applyBorder="1" applyAlignment="1">
      <alignment horizontal="left"/>
    </xf>
    <xf numFmtId="167" fontId="22" fillId="0" borderId="24" xfId="4" applyNumberFormat="1" applyFont="1" applyFill="1" applyBorder="1"/>
    <xf numFmtId="169" fontId="22" fillId="0" borderId="25" xfId="7" applyNumberFormat="1" applyFont="1" applyFill="1" applyBorder="1"/>
    <xf numFmtId="167" fontId="24" fillId="0" borderId="24" xfId="4" applyNumberFormat="1" applyFont="1" applyFill="1" applyBorder="1"/>
    <xf numFmtId="169" fontId="24" fillId="0" borderId="25" xfId="7" applyNumberFormat="1" applyFont="1" applyFill="1" applyBorder="1"/>
    <xf numFmtId="169" fontId="24" fillId="0" borderId="42" xfId="7" applyNumberFormat="1" applyFont="1" applyFill="1" applyBorder="1"/>
    <xf numFmtId="0" fontId="15" fillId="0" borderId="0" xfId="0" applyFont="1" applyAlignment="1">
      <alignment horizontal="left" vertical="center" indent="1"/>
    </xf>
    <xf numFmtId="170" fontId="15" fillId="0" borderId="0" xfId="6" applyNumberFormat="1" applyFont="1" applyFill="1" applyBorder="1" applyAlignment="1">
      <alignment horizontal="left" vertical="center" indent="1"/>
    </xf>
    <xf numFmtId="169" fontId="15" fillId="0" borderId="0" xfId="7" applyNumberFormat="1" applyFont="1" applyFill="1" applyBorder="1" applyAlignment="1">
      <alignment horizontal="left" vertical="center" indent="1"/>
    </xf>
    <xf numFmtId="167" fontId="22" fillId="0" borderId="0" xfId="0" applyNumberFormat="1" applyFont="1" applyAlignment="1">
      <alignment horizontal="left"/>
    </xf>
    <xf numFmtId="167" fontId="22" fillId="0" borderId="10" xfId="0" applyNumberFormat="1" applyFont="1" applyBorder="1" applyAlignment="1">
      <alignment horizontal="left"/>
    </xf>
    <xf numFmtId="0" fontId="22" fillId="0" borderId="11" xfId="0" applyFont="1" applyBorder="1" applyAlignment="1">
      <alignment horizontal="left"/>
    </xf>
    <xf numFmtId="167" fontId="22" fillId="0" borderId="43" xfId="0" applyNumberFormat="1" applyFont="1" applyBorder="1" applyAlignment="1">
      <alignment horizontal="left"/>
    </xf>
    <xf numFmtId="0" fontId="22" fillId="0" borderId="44" xfId="0" applyFont="1" applyBorder="1" applyAlignment="1">
      <alignment horizontal="left"/>
    </xf>
    <xf numFmtId="0" fontId="22" fillId="0" borderId="45" xfId="0" applyFont="1" applyBorder="1" applyAlignment="1">
      <alignment horizontal="left"/>
    </xf>
    <xf numFmtId="0" fontId="22" fillId="0" borderId="0" xfId="0" applyFont="1" applyAlignment="1">
      <alignment horizontal="left" indent="1"/>
    </xf>
    <xf numFmtId="170" fontId="24" fillId="0" borderId="0" xfId="6" applyNumberFormat="1" applyFont="1" applyFill="1" applyBorder="1"/>
    <xf numFmtId="167" fontId="22" fillId="0" borderId="46" xfId="4" applyNumberFormat="1" applyFont="1" applyBorder="1"/>
    <xf numFmtId="169" fontId="24" fillId="0" borderId="47" xfId="7" applyNumberFormat="1" applyFont="1" applyFill="1" applyBorder="1"/>
    <xf numFmtId="167" fontId="22" fillId="0" borderId="0" xfId="0" applyNumberFormat="1" applyFont="1"/>
    <xf numFmtId="0" fontId="22" fillId="7" borderId="17" xfId="0" applyFont="1" applyFill="1" applyBorder="1" applyAlignment="1">
      <alignment horizontal="left" indent="2"/>
    </xf>
    <xf numFmtId="167" fontId="22" fillId="0" borderId="46" xfId="4" applyNumberFormat="1" applyFont="1" applyFill="1" applyBorder="1"/>
    <xf numFmtId="167" fontId="22" fillId="0" borderId="48" xfId="4" applyNumberFormat="1" applyFont="1" applyFill="1" applyBorder="1"/>
    <xf numFmtId="167" fontId="22" fillId="0" borderId="17" xfId="4" applyNumberFormat="1" applyFont="1" applyFill="1" applyBorder="1" applyAlignment="1">
      <alignment horizontal="right"/>
    </xf>
    <xf numFmtId="167" fontId="22" fillId="0" borderId="49" xfId="4" applyNumberFormat="1" applyFont="1" applyFill="1" applyBorder="1"/>
    <xf numFmtId="0" fontId="24" fillId="0" borderId="50" xfId="0" applyFont="1" applyBorder="1"/>
    <xf numFmtId="169" fontId="24" fillId="0" borderId="50" xfId="7" applyNumberFormat="1" applyFont="1" applyFill="1" applyBorder="1"/>
    <xf numFmtId="167" fontId="24" fillId="0" borderId="50" xfId="4" applyNumberFormat="1" applyFont="1" applyFill="1" applyBorder="1"/>
    <xf numFmtId="169" fontId="24" fillId="0" borderId="51" xfId="7" applyNumberFormat="1" applyFont="1" applyFill="1" applyBorder="1"/>
    <xf numFmtId="171" fontId="15" fillId="0" borderId="0" xfId="0" applyNumberFormat="1" applyFont="1" applyAlignment="1">
      <alignment horizontal="left" vertical="center" indent="1"/>
    </xf>
    <xf numFmtId="171" fontId="31" fillId="16" borderId="10" xfId="0" applyNumberFormat="1" applyFont="1" applyFill="1" applyBorder="1" applyAlignment="1">
      <alignment horizontal="left" vertical="center" indent="1"/>
    </xf>
    <xf numFmtId="171" fontId="31" fillId="16" borderId="11" xfId="0" applyNumberFormat="1" applyFont="1" applyFill="1" applyBorder="1" applyAlignment="1">
      <alignment horizontal="left" vertical="center" indent="1"/>
    </xf>
    <xf numFmtId="171" fontId="31" fillId="16" borderId="12" xfId="0" applyNumberFormat="1" applyFont="1" applyFill="1" applyBorder="1" applyAlignment="1">
      <alignment horizontal="left" vertical="center" indent="1"/>
    </xf>
    <xf numFmtId="171" fontId="31" fillId="16" borderId="0" xfId="0" applyNumberFormat="1" applyFont="1" applyFill="1" applyAlignment="1">
      <alignment horizontal="left" vertical="center" indent="1"/>
    </xf>
    <xf numFmtId="167" fontId="15" fillId="0" borderId="0" xfId="4" applyNumberFormat="1" applyFont="1" applyFill="1" applyBorder="1" applyAlignment="1">
      <alignment horizontal="left" vertical="center" indent="1"/>
    </xf>
    <xf numFmtId="171" fontId="22" fillId="0" borderId="0" xfId="0" applyNumberFormat="1" applyFont="1"/>
    <xf numFmtId="171" fontId="29" fillId="17" borderId="10" xfId="0" applyNumberFormat="1" applyFont="1" applyFill="1" applyBorder="1" applyAlignment="1">
      <alignment horizontal="left" vertical="center" indent="1"/>
    </xf>
    <xf numFmtId="171" fontId="22" fillId="8" borderId="10" xfId="0" applyNumberFormat="1" applyFont="1" applyFill="1" applyBorder="1"/>
    <xf numFmtId="171" fontId="29" fillId="8" borderId="11" xfId="0" applyNumberFormat="1" applyFont="1" applyFill="1" applyBorder="1" applyAlignment="1">
      <alignment horizontal="left" vertical="center" indent="1"/>
    </xf>
    <xf numFmtId="171" fontId="24" fillId="8" borderId="11" xfId="0" applyNumberFormat="1" applyFont="1" applyFill="1" applyBorder="1"/>
    <xf numFmtId="171" fontId="24" fillId="8" borderId="11" xfId="4" applyNumberFormat="1" applyFont="1" applyFill="1" applyBorder="1"/>
    <xf numFmtId="171" fontId="22" fillId="8" borderId="11" xfId="4" applyNumberFormat="1" applyFont="1" applyFill="1" applyBorder="1"/>
    <xf numFmtId="167" fontId="24" fillId="8" borderId="11" xfId="4" applyNumberFormat="1" applyFont="1" applyFill="1" applyBorder="1"/>
    <xf numFmtId="43" fontId="22" fillId="8" borderId="11" xfId="4" applyFont="1" applyFill="1" applyBorder="1"/>
    <xf numFmtId="169" fontId="24" fillId="8" borderId="12" xfId="7" applyNumberFormat="1" applyFont="1" applyFill="1" applyBorder="1"/>
    <xf numFmtId="171" fontId="29" fillId="18" borderId="14" xfId="0" applyNumberFormat="1" applyFont="1" applyFill="1" applyBorder="1" applyAlignment="1">
      <alignment horizontal="left" vertical="center" indent="1"/>
    </xf>
    <xf numFmtId="171" fontId="22" fillId="8" borderId="17" xfId="0" applyNumberFormat="1" applyFont="1" applyFill="1" applyBorder="1"/>
    <xf numFmtId="171" fontId="29" fillId="8" borderId="0" xfId="0" applyNumberFormat="1" applyFont="1" applyFill="1" applyAlignment="1">
      <alignment horizontal="left" vertical="center" indent="1"/>
    </xf>
    <xf numFmtId="171" fontId="24" fillId="8" borderId="0" xfId="0" applyNumberFormat="1" applyFont="1" applyFill="1"/>
    <xf numFmtId="171" fontId="24" fillId="8" borderId="0" xfId="4" applyNumberFormat="1" applyFont="1" applyFill="1" applyBorder="1"/>
    <xf numFmtId="171" fontId="22" fillId="8" borderId="0" xfId="7" applyNumberFormat="1" applyFont="1" applyFill="1" applyBorder="1" applyAlignment="1">
      <alignment horizontal="right"/>
    </xf>
    <xf numFmtId="0" fontId="24" fillId="8" borderId="0" xfId="4" applyNumberFormat="1" applyFont="1" applyFill="1" applyBorder="1"/>
    <xf numFmtId="10" fontId="22" fillId="8" borderId="0" xfId="7" applyNumberFormat="1" applyFont="1" applyFill="1" applyBorder="1" applyAlignment="1">
      <alignment horizontal="right"/>
    </xf>
    <xf numFmtId="167" fontId="24" fillId="8" borderId="0" xfId="4" applyNumberFormat="1" applyFont="1" applyFill="1" applyBorder="1"/>
    <xf numFmtId="169" fontId="24" fillId="8" borderId="5" xfId="7" applyNumberFormat="1" applyFont="1" applyFill="1" applyBorder="1"/>
    <xf numFmtId="0" fontId="29" fillId="17" borderId="20" xfId="0" applyFont="1" applyFill="1" applyBorder="1" applyAlignment="1">
      <alignment horizontal="left" vertical="center" indent="1"/>
    </xf>
    <xf numFmtId="0" fontId="22" fillId="8" borderId="23" xfId="0" applyFont="1" applyFill="1" applyBorder="1"/>
    <xf numFmtId="0" fontId="29" fillId="8" borderId="24" xfId="0" applyFont="1" applyFill="1" applyBorder="1" applyAlignment="1">
      <alignment horizontal="left" vertical="center" indent="1"/>
    </xf>
    <xf numFmtId="0" fontId="24" fillId="8" borderId="24" xfId="0" applyFont="1" applyFill="1" applyBorder="1"/>
    <xf numFmtId="0" fontId="24" fillId="8" borderId="24" xfId="4" applyNumberFormat="1" applyFont="1" applyFill="1" applyBorder="1"/>
    <xf numFmtId="10" fontId="22" fillId="8" borderId="24" xfId="7" applyNumberFormat="1" applyFont="1" applyFill="1" applyBorder="1" applyAlignment="1">
      <alignment horizontal="right"/>
    </xf>
    <xf numFmtId="167" fontId="24" fillId="8" borderId="24" xfId="4" applyNumberFormat="1" applyFont="1" applyFill="1" applyBorder="1"/>
    <xf numFmtId="169" fontId="24" fillId="8" borderId="25" xfId="7" applyNumberFormat="1" applyFont="1" applyFill="1" applyBorder="1"/>
    <xf numFmtId="0" fontId="22" fillId="17" borderId="7" xfId="0" applyFont="1" applyFill="1" applyBorder="1" applyAlignment="1">
      <alignment horizontal="left" indent="1"/>
    </xf>
    <xf numFmtId="167" fontId="22" fillId="17" borderId="28" xfId="4" applyNumberFormat="1" applyFont="1" applyFill="1" applyBorder="1" applyAlignment="1">
      <alignment horizontal="left"/>
    </xf>
    <xf numFmtId="43" fontId="22" fillId="17" borderId="7" xfId="4" applyFont="1" applyFill="1" applyBorder="1"/>
    <xf numFmtId="0" fontId="24" fillId="17" borderId="11" xfId="0" applyFont="1" applyFill="1" applyBorder="1"/>
    <xf numFmtId="0" fontId="24" fillId="17" borderId="9" xfId="0" applyFont="1" applyFill="1" applyBorder="1"/>
    <xf numFmtId="169" fontId="24" fillId="17" borderId="9" xfId="7" applyNumberFormat="1" applyFont="1" applyFill="1" applyBorder="1"/>
    <xf numFmtId="167" fontId="24" fillId="17" borderId="11" xfId="4" applyNumberFormat="1" applyFont="1" applyFill="1" applyBorder="1"/>
    <xf numFmtId="0" fontId="22" fillId="18" borderId="14" xfId="0" applyFont="1" applyFill="1" applyBorder="1" applyAlignment="1">
      <alignment horizontal="left" indent="1"/>
    </xf>
    <xf numFmtId="167" fontId="22" fillId="18" borderId="28" xfId="4" applyNumberFormat="1" applyFont="1" applyFill="1" applyBorder="1" applyAlignment="1">
      <alignment horizontal="left"/>
    </xf>
    <xf numFmtId="167" fontId="22" fillId="18" borderId="56" xfId="4" applyNumberFormat="1" applyFont="1" applyFill="1" applyBorder="1" applyAlignment="1">
      <alignment horizontal="left"/>
    </xf>
    <xf numFmtId="10" fontId="22" fillId="18" borderId="0" xfId="0" applyNumberFormat="1" applyFont="1" applyFill="1"/>
    <xf numFmtId="10" fontId="22" fillId="18" borderId="57" xfId="7" applyNumberFormat="1" applyFont="1" applyFill="1" applyBorder="1" applyAlignment="1">
      <alignment horizontal="right"/>
    </xf>
    <xf numFmtId="10" fontId="22" fillId="18" borderId="15" xfId="7" applyNumberFormat="1" applyFont="1" applyFill="1" applyBorder="1" applyAlignment="1">
      <alignment horizontal="right"/>
    </xf>
    <xf numFmtId="10" fontId="22" fillId="18" borderId="14" xfId="7" applyNumberFormat="1" applyFont="1" applyFill="1" applyBorder="1" applyAlignment="1">
      <alignment horizontal="right"/>
    </xf>
    <xf numFmtId="10" fontId="22" fillId="18" borderId="58" xfId="7" applyNumberFormat="1" applyFont="1" applyFill="1" applyBorder="1" applyAlignment="1">
      <alignment horizontal="right"/>
    </xf>
    <xf numFmtId="10" fontId="22" fillId="18" borderId="59" xfId="7" applyNumberFormat="1" applyFont="1" applyFill="1" applyBorder="1" applyAlignment="1">
      <alignment horizontal="right"/>
    </xf>
    <xf numFmtId="10" fontId="22" fillId="8" borderId="60" xfId="7" applyNumberFormat="1" applyFont="1" applyFill="1" applyBorder="1" applyAlignment="1">
      <alignment horizontal="right"/>
    </xf>
    <xf numFmtId="0" fontId="22" fillId="17" borderId="14" xfId="0" applyFont="1" applyFill="1" applyBorder="1" applyAlignment="1">
      <alignment horizontal="left" indent="1"/>
    </xf>
    <xf numFmtId="10" fontId="22" fillId="17" borderId="14" xfId="7" applyNumberFormat="1" applyFont="1" applyFill="1" applyBorder="1"/>
    <xf numFmtId="10" fontId="22" fillId="14" borderId="58" xfId="7" applyNumberFormat="1" applyFont="1" applyFill="1" applyBorder="1" applyAlignment="1">
      <alignment horizontal="right"/>
    </xf>
    <xf numFmtId="0" fontId="24" fillId="17" borderId="18" xfId="0" applyFont="1" applyFill="1" applyBorder="1"/>
    <xf numFmtId="0" fontId="24" fillId="17" borderId="4" xfId="0" applyFont="1" applyFill="1" applyBorder="1"/>
    <xf numFmtId="169" fontId="24" fillId="17" borderId="18" xfId="7" applyNumberFormat="1" applyFont="1" applyFill="1" applyBorder="1"/>
    <xf numFmtId="167" fontId="24" fillId="17" borderId="4" xfId="4" applyNumberFormat="1" applyFont="1" applyFill="1" applyBorder="1"/>
    <xf numFmtId="170" fontId="22" fillId="18" borderId="14" xfId="6" applyNumberFormat="1" applyFont="1" applyFill="1" applyBorder="1" applyAlignment="1">
      <alignment horizontal="right"/>
    </xf>
    <xf numFmtId="0" fontId="24" fillId="18" borderId="4" xfId="0" applyFont="1" applyFill="1" applyBorder="1"/>
    <xf numFmtId="0" fontId="24" fillId="18" borderId="18" xfId="0" applyFont="1" applyFill="1" applyBorder="1"/>
    <xf numFmtId="10" fontId="22" fillId="18" borderId="14" xfId="7" applyNumberFormat="1" applyFont="1" applyFill="1" applyBorder="1"/>
    <xf numFmtId="0" fontId="24" fillId="18" borderId="15" xfId="0" applyFont="1" applyFill="1" applyBorder="1"/>
    <xf numFmtId="169" fontId="24" fillId="18" borderId="18" xfId="7" applyNumberFormat="1" applyFont="1" applyFill="1" applyBorder="1"/>
    <xf numFmtId="167" fontId="24" fillId="18" borderId="15" xfId="4" applyNumberFormat="1" applyFont="1" applyFill="1" applyBorder="1"/>
    <xf numFmtId="9" fontId="22" fillId="17" borderId="14" xfId="7" applyFont="1" applyFill="1" applyBorder="1" applyAlignment="1">
      <alignment horizontal="right"/>
    </xf>
    <xf numFmtId="0" fontId="24" fillId="17" borderId="15" xfId="0" applyFont="1" applyFill="1" applyBorder="1"/>
    <xf numFmtId="10" fontId="22" fillId="8" borderId="0" xfId="7" applyNumberFormat="1" applyFont="1" applyFill="1" applyBorder="1"/>
    <xf numFmtId="0" fontId="24" fillId="8" borderId="0" xfId="0" applyFont="1" applyFill="1"/>
    <xf numFmtId="169" fontId="24" fillId="8" borderId="0" xfId="7" applyNumberFormat="1" applyFont="1" applyFill="1" applyBorder="1"/>
    <xf numFmtId="0" fontId="22" fillId="18" borderId="23" xfId="0" applyFont="1" applyFill="1" applyBorder="1" applyAlignment="1">
      <alignment horizontal="left" indent="1"/>
    </xf>
    <xf numFmtId="9" fontId="22" fillId="18" borderId="23" xfId="7" applyFont="1" applyFill="1" applyBorder="1" applyAlignment="1">
      <alignment horizontal="right"/>
    </xf>
    <xf numFmtId="0" fontId="24" fillId="18" borderId="24" xfId="0" applyFont="1" applyFill="1" applyBorder="1"/>
    <xf numFmtId="0" fontId="24" fillId="18" borderId="25" xfId="0" applyFont="1" applyFill="1" applyBorder="1"/>
    <xf numFmtId="10" fontId="22" fillId="8" borderId="24" xfId="7" applyNumberFormat="1" applyFont="1" applyFill="1" applyBorder="1"/>
    <xf numFmtId="169" fontId="24" fillId="8" borderId="24" xfId="7" applyNumberFormat="1" applyFont="1" applyFill="1" applyBorder="1"/>
    <xf numFmtId="0" fontId="21" fillId="17" borderId="17" xfId="0" applyFont="1" applyFill="1" applyBorder="1" applyAlignment="1">
      <alignment horizontal="left" indent="1"/>
    </xf>
    <xf numFmtId="167" fontId="22" fillId="17" borderId="0" xfId="4" applyNumberFormat="1" applyFont="1" applyFill="1" applyBorder="1" applyAlignment="1">
      <alignment horizontal="center"/>
    </xf>
    <xf numFmtId="10" fontId="22" fillId="17" borderId="0" xfId="7" applyNumberFormat="1" applyFont="1" applyFill="1" applyBorder="1" applyAlignment="1">
      <alignment horizontal="right"/>
    </xf>
    <xf numFmtId="10" fontId="22" fillId="8" borderId="7" xfId="7" applyNumberFormat="1" applyFont="1" applyFill="1" applyBorder="1" applyAlignment="1">
      <alignment horizontal="right"/>
    </xf>
    <xf numFmtId="10" fontId="22" fillId="8" borderId="8" xfId="7" applyNumberFormat="1" applyFont="1" applyFill="1" applyBorder="1" applyAlignment="1">
      <alignment horizontal="right"/>
    </xf>
    <xf numFmtId="0" fontId="22" fillId="8" borderId="8" xfId="0" applyFont="1" applyFill="1" applyBorder="1"/>
    <xf numFmtId="0" fontId="22" fillId="8" borderId="9" xfId="0" applyFont="1" applyFill="1" applyBorder="1"/>
    <xf numFmtId="0" fontId="22" fillId="18" borderId="27" xfId="0" applyFont="1" applyFill="1" applyBorder="1" applyAlignment="1">
      <alignment horizontal="left" indent="2"/>
    </xf>
    <xf numFmtId="0" fontId="22" fillId="18" borderId="28" xfId="0" applyFont="1" applyFill="1" applyBorder="1"/>
    <xf numFmtId="10" fontId="22" fillId="18" borderId="17" xfId="7" applyNumberFormat="1" applyFont="1" applyFill="1" applyBorder="1"/>
    <xf numFmtId="0" fontId="24" fillId="18" borderId="0" xfId="0" applyFont="1" applyFill="1"/>
    <xf numFmtId="0" fontId="24" fillId="18" borderId="5" xfId="0" applyFont="1" applyFill="1" applyBorder="1"/>
    <xf numFmtId="169" fontId="24" fillId="18" borderId="5" xfId="7" applyNumberFormat="1" applyFont="1" applyFill="1" applyBorder="1"/>
    <xf numFmtId="167" fontId="24" fillId="18" borderId="0" xfId="4" applyNumberFormat="1" applyFont="1" applyFill="1" applyBorder="1"/>
    <xf numFmtId="0" fontId="22" fillId="18" borderId="5" xfId="0" applyFont="1" applyFill="1" applyBorder="1"/>
    <xf numFmtId="0" fontId="22" fillId="18" borderId="0" xfId="0" applyFont="1" applyFill="1"/>
    <xf numFmtId="0" fontId="22" fillId="17" borderId="27" xfId="0" applyFont="1" applyFill="1" applyBorder="1" applyAlignment="1">
      <alignment horizontal="left" indent="2"/>
    </xf>
    <xf numFmtId="0" fontId="22" fillId="17" borderId="28" xfId="0" applyFont="1" applyFill="1" applyBorder="1"/>
    <xf numFmtId="170" fontId="22" fillId="17" borderId="27" xfId="6" applyNumberFormat="1" applyFont="1" applyFill="1" applyBorder="1"/>
    <xf numFmtId="0" fontId="24" fillId="17" borderId="28" xfId="0" applyFont="1" applyFill="1" applyBorder="1"/>
    <xf numFmtId="0" fontId="24" fillId="17" borderId="29" xfId="0" applyFont="1" applyFill="1" applyBorder="1"/>
    <xf numFmtId="169" fontId="24" fillId="17" borderId="29" xfId="7" applyNumberFormat="1" applyFont="1" applyFill="1" applyBorder="1"/>
    <xf numFmtId="167" fontId="24" fillId="17" borderId="28" xfId="4" applyNumberFormat="1" applyFont="1" applyFill="1" applyBorder="1"/>
    <xf numFmtId="0" fontId="22" fillId="17" borderId="29" xfId="0" applyFont="1" applyFill="1" applyBorder="1"/>
    <xf numFmtId="170" fontId="22" fillId="18" borderId="27" xfId="6" applyNumberFormat="1" applyFont="1" applyFill="1" applyBorder="1"/>
    <xf numFmtId="0" fontId="24" fillId="18" borderId="28" xfId="0" applyFont="1" applyFill="1" applyBorder="1"/>
    <xf numFmtId="0" fontId="24" fillId="18" borderId="29" xfId="0" applyFont="1" applyFill="1" applyBorder="1"/>
    <xf numFmtId="172" fontId="22" fillId="18" borderId="27" xfId="6" applyNumberFormat="1" applyFont="1" applyFill="1" applyBorder="1"/>
    <xf numFmtId="169" fontId="24" fillId="18" borderId="29" xfId="7" applyNumberFormat="1" applyFont="1" applyFill="1" applyBorder="1"/>
    <xf numFmtId="167" fontId="24" fillId="18" borderId="28" xfId="4" applyNumberFormat="1" applyFont="1" applyFill="1" applyBorder="1"/>
    <xf numFmtId="0" fontId="22" fillId="18" borderId="29" xfId="0" applyFont="1" applyFill="1" applyBorder="1"/>
    <xf numFmtId="0" fontId="21" fillId="17" borderId="27" xfId="0" applyFont="1" applyFill="1" applyBorder="1" applyAlignment="1">
      <alignment horizontal="left" indent="1"/>
    </xf>
    <xf numFmtId="170" fontId="22" fillId="8" borderId="14" xfId="6" applyNumberFormat="1" applyFont="1" applyFill="1" applyBorder="1"/>
    <xf numFmtId="0" fontId="24" fillId="8" borderId="15" xfId="0" applyFont="1" applyFill="1" applyBorder="1"/>
    <xf numFmtId="172" fontId="22" fillId="8" borderId="15" xfId="6" applyNumberFormat="1" applyFont="1" applyFill="1" applyBorder="1"/>
    <xf numFmtId="169" fontId="24" fillId="8" borderId="15" xfId="7" applyNumberFormat="1" applyFont="1" applyFill="1" applyBorder="1"/>
    <xf numFmtId="167" fontId="24" fillId="8" borderId="15" xfId="4" applyNumberFormat="1" applyFont="1" applyFill="1" applyBorder="1"/>
    <xf numFmtId="0" fontId="22" fillId="8" borderId="15" xfId="0" applyFont="1" applyFill="1" applyBorder="1"/>
    <xf numFmtId="0" fontId="22" fillId="8" borderId="18" xfId="0" applyFont="1" applyFill="1" applyBorder="1"/>
    <xf numFmtId="10" fontId="22" fillId="18" borderId="17" xfId="7" applyNumberFormat="1" applyFont="1" applyFill="1" applyBorder="1" applyAlignment="1">
      <alignment horizontal="right"/>
    </xf>
    <xf numFmtId="172" fontId="22" fillId="17" borderId="27" xfId="6" applyNumberFormat="1" applyFont="1" applyFill="1" applyBorder="1"/>
    <xf numFmtId="170" fontId="22" fillId="18" borderId="20" xfId="6" applyNumberFormat="1" applyFont="1" applyFill="1" applyBorder="1"/>
    <xf numFmtId="0" fontId="24" fillId="18" borderId="21" xfId="0" applyFont="1" applyFill="1" applyBorder="1"/>
    <xf numFmtId="0" fontId="24" fillId="18" borderId="55" xfId="0" applyFont="1" applyFill="1" applyBorder="1"/>
    <xf numFmtId="172" fontId="22" fillId="18" borderId="20" xfId="6" applyNumberFormat="1" applyFont="1" applyFill="1" applyBorder="1"/>
    <xf numFmtId="169" fontId="24" fillId="18" borderId="55" xfId="7" applyNumberFormat="1" applyFont="1" applyFill="1" applyBorder="1"/>
    <xf numFmtId="167" fontId="24" fillId="18" borderId="21" xfId="4" applyNumberFormat="1" applyFont="1" applyFill="1" applyBorder="1"/>
    <xf numFmtId="0" fontId="22" fillId="18" borderId="55" xfId="0" applyFont="1" applyFill="1" applyBorder="1"/>
    <xf numFmtId="0" fontId="22" fillId="18" borderId="21" xfId="0" applyFont="1" applyFill="1" applyBorder="1"/>
    <xf numFmtId="169" fontId="15" fillId="0" borderId="34" xfId="7" applyNumberFormat="1" applyFont="1" applyFill="1" applyBorder="1" applyAlignment="1">
      <alignment horizontal="left" vertical="center" indent="1"/>
    </xf>
    <xf numFmtId="0" fontId="22" fillId="17" borderId="17" xfId="0" applyFont="1" applyFill="1" applyBorder="1" applyAlignment="1">
      <alignment horizontal="left" indent="1"/>
    </xf>
    <xf numFmtId="0" fontId="22" fillId="17" borderId="0" xfId="0" applyFont="1" applyFill="1"/>
    <xf numFmtId="9" fontId="22" fillId="17" borderId="10" xfId="7" applyFont="1" applyFill="1" applyBorder="1"/>
    <xf numFmtId="0" fontId="24" fillId="17" borderId="12" xfId="0" applyFont="1" applyFill="1" applyBorder="1"/>
    <xf numFmtId="169" fontId="24" fillId="17" borderId="12" xfId="7" applyNumberFormat="1" applyFont="1" applyFill="1" applyBorder="1"/>
    <xf numFmtId="0" fontId="22" fillId="17" borderId="12" xfId="0" applyFont="1" applyFill="1" applyBorder="1"/>
    <xf numFmtId="0" fontId="22" fillId="17" borderId="11" xfId="0" applyFont="1" applyFill="1" applyBorder="1"/>
    <xf numFmtId="0" fontId="22" fillId="18" borderId="27" xfId="0" applyFont="1" applyFill="1" applyBorder="1" applyAlignment="1">
      <alignment horizontal="left" indent="1"/>
    </xf>
    <xf numFmtId="0" fontId="22" fillId="17" borderId="20" xfId="0" applyFont="1" applyFill="1" applyBorder="1" applyAlignment="1">
      <alignment horizontal="left" indent="1"/>
    </xf>
    <xf numFmtId="0" fontId="22" fillId="17" borderId="21" xfId="0" applyFont="1" applyFill="1" applyBorder="1"/>
    <xf numFmtId="170" fontId="22" fillId="17" borderId="20" xfId="6" applyNumberFormat="1" applyFont="1" applyFill="1" applyBorder="1"/>
    <xf numFmtId="0" fontId="24" fillId="17" borderId="21" xfId="0" applyFont="1" applyFill="1" applyBorder="1"/>
    <xf numFmtId="0" fontId="24" fillId="17" borderId="55" xfId="0" applyFont="1" applyFill="1" applyBorder="1"/>
    <xf numFmtId="169" fontId="24" fillId="17" borderId="55" xfId="7" applyNumberFormat="1" applyFont="1" applyFill="1" applyBorder="1"/>
    <xf numFmtId="167" fontId="24" fillId="17" borderId="21" xfId="4" applyNumberFormat="1" applyFont="1" applyFill="1" applyBorder="1"/>
    <xf numFmtId="0" fontId="22" fillId="17" borderId="55" xfId="0" applyFont="1" applyFill="1" applyBorder="1"/>
    <xf numFmtId="44" fontId="0" fillId="0" borderId="0" xfId="6" applyFont="1"/>
    <xf numFmtId="10" fontId="0" fillId="0" borderId="0" xfId="0" applyNumberFormat="1"/>
    <xf numFmtId="44" fontId="0" fillId="0" borderId="4" xfId="6" applyFont="1" applyBorder="1"/>
    <xf numFmtId="44" fontId="0" fillId="0" borderId="0" xfId="0" applyNumberFormat="1"/>
    <xf numFmtId="165" fontId="20" fillId="0" borderId="61" xfId="3" applyNumberFormat="1" applyFont="1" applyFill="1" applyBorder="1" applyAlignment="1">
      <alignment horizontal="right" wrapText="1"/>
    </xf>
    <xf numFmtId="169" fontId="21" fillId="15" borderId="4" xfId="7" applyNumberFormat="1" applyFont="1" applyFill="1" applyBorder="1"/>
    <xf numFmtId="167" fontId="33" fillId="0" borderId="28" xfId="4" applyNumberFormat="1" applyFont="1" applyFill="1" applyBorder="1" applyAlignment="1">
      <alignment horizontal="right"/>
    </xf>
    <xf numFmtId="167" fontId="33" fillId="0" borderId="0" xfId="4" applyNumberFormat="1" applyFont="1" applyFill="1" applyBorder="1" applyAlignment="1">
      <alignment horizontal="right"/>
    </xf>
    <xf numFmtId="167" fontId="33" fillId="0" borderId="40" xfId="4" applyNumberFormat="1" applyFont="1" applyFill="1" applyBorder="1"/>
    <xf numFmtId="169" fontId="22" fillId="0" borderId="24" xfId="7" applyNumberFormat="1" applyFont="1" applyFill="1" applyBorder="1"/>
    <xf numFmtId="167" fontId="22" fillId="17" borderId="0" xfId="4" applyNumberFormat="1" applyFont="1" applyFill="1" applyBorder="1" applyAlignment="1">
      <alignment horizontal="left"/>
    </xf>
    <xf numFmtId="167" fontId="22" fillId="18" borderId="0" xfId="4" applyNumberFormat="1" applyFont="1" applyFill="1" applyBorder="1" applyAlignment="1">
      <alignment horizontal="left"/>
    </xf>
    <xf numFmtId="167" fontId="22" fillId="0" borderId="4" xfId="0" applyNumberFormat="1" applyFont="1" applyBorder="1" applyAlignment="1">
      <alignment horizontal="left"/>
    </xf>
    <xf numFmtId="10" fontId="22" fillId="0" borderId="0" xfId="7" applyNumberFormat="1" applyFont="1"/>
    <xf numFmtId="0" fontId="22" fillId="0" borderId="10" xfId="0" applyFont="1" applyBorder="1"/>
    <xf numFmtId="10" fontId="22" fillId="0" borderId="12" xfId="7" applyNumberFormat="1" applyFont="1" applyBorder="1"/>
    <xf numFmtId="0" fontId="22" fillId="0" borderId="23" xfId="0" applyFont="1" applyBorder="1"/>
    <xf numFmtId="10" fontId="22" fillId="0" borderId="25" xfId="7" applyNumberFormat="1" applyFont="1" applyBorder="1"/>
    <xf numFmtId="0" fontId="42" fillId="0" borderId="0" xfId="0" applyFont="1" applyAlignment="1">
      <alignment horizontal="left" vertical="center" indent="1"/>
    </xf>
    <xf numFmtId="0" fontId="42" fillId="19" borderId="62" xfId="0" applyFont="1" applyFill="1" applyBorder="1" applyAlignment="1">
      <alignment horizontal="left" vertical="center" indent="1"/>
    </xf>
    <xf numFmtId="43" fontId="0" fillId="0" borderId="0" xfId="6" applyNumberFormat="1" applyFont="1"/>
    <xf numFmtId="0" fontId="44" fillId="0" borderId="0" xfId="0" applyFont="1"/>
    <xf numFmtId="164" fontId="44" fillId="0" borderId="0" xfId="0" applyNumberFormat="1" applyFont="1"/>
    <xf numFmtId="164" fontId="8" fillId="0" borderId="4" xfId="0" applyNumberFormat="1" applyFont="1" applyBorder="1"/>
    <xf numFmtId="0" fontId="1" fillId="0" borderId="0" xfId="8"/>
    <xf numFmtId="0" fontId="1" fillId="0" borderId="0" xfId="8" applyAlignment="1">
      <alignment horizontal="center"/>
    </xf>
    <xf numFmtId="14" fontId="1" fillId="0" borderId="0" xfId="8" applyNumberFormat="1"/>
    <xf numFmtId="44" fontId="1" fillId="0" borderId="0" xfId="8" applyNumberFormat="1"/>
    <xf numFmtId="44" fontId="0" fillId="0" borderId="0" xfId="9" applyFont="1"/>
    <xf numFmtId="44" fontId="0" fillId="0" borderId="0" xfId="9" applyFont="1" applyFill="1"/>
    <xf numFmtId="0" fontId="6" fillId="7" borderId="0" xfId="0" applyFont="1" applyFill="1"/>
    <xf numFmtId="164" fontId="6" fillId="7" borderId="0" xfId="0" applyNumberFormat="1" applyFont="1" applyFill="1"/>
    <xf numFmtId="0" fontId="0" fillId="7" borderId="0" xfId="0" applyFill="1"/>
    <xf numFmtId="14" fontId="0" fillId="0" borderId="0" xfId="0" applyNumberFormat="1"/>
    <xf numFmtId="44" fontId="0" fillId="7" borderId="0" xfId="6" applyFont="1" applyFill="1"/>
    <xf numFmtId="0" fontId="5" fillId="5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164" fontId="6" fillId="0" borderId="4" xfId="0" applyNumberFormat="1" applyFont="1" applyBorder="1"/>
    <xf numFmtId="14" fontId="2" fillId="2" borderId="1" xfId="0" applyNumberFormat="1" applyFont="1" applyFill="1" applyBorder="1" applyAlignment="1">
      <alignment horizontal="center"/>
    </xf>
    <xf numFmtId="173" fontId="6" fillId="0" borderId="0" xfId="0" applyNumberFormat="1" applyFont="1"/>
    <xf numFmtId="4" fontId="0" fillId="0" borderId="0" xfId="0" applyNumberFormat="1"/>
    <xf numFmtId="4" fontId="0" fillId="7" borderId="0" xfId="0" applyNumberFormat="1" applyFill="1"/>
    <xf numFmtId="164" fontId="6" fillId="0" borderId="0" xfId="0" applyNumberFormat="1" applyFont="1"/>
    <xf numFmtId="0" fontId="31" fillId="16" borderId="10" xfId="0" applyFont="1" applyFill="1" applyBorder="1" applyAlignment="1">
      <alignment horizontal="left" vertical="center" indent="1"/>
    </xf>
    <xf numFmtId="0" fontId="31" fillId="16" borderId="0" xfId="0" applyFont="1" applyFill="1" applyAlignment="1">
      <alignment horizontal="left" vertical="center" indent="1"/>
    </xf>
    <xf numFmtId="0" fontId="31" fillId="16" borderId="5" xfId="0" applyFont="1" applyFill="1" applyBorder="1" applyAlignment="1">
      <alignment horizontal="left" vertical="center" indent="1"/>
    </xf>
    <xf numFmtId="0" fontId="29" fillId="12" borderId="7" xfId="0" applyFont="1" applyFill="1" applyBorder="1" applyAlignment="1">
      <alignment horizontal="center" vertical="center"/>
    </xf>
    <xf numFmtId="0" fontId="29" fillId="12" borderId="8" xfId="0" applyFont="1" applyFill="1" applyBorder="1" applyAlignment="1">
      <alignment horizontal="center" vertical="center"/>
    </xf>
    <xf numFmtId="0" fontId="29" fillId="12" borderId="9" xfId="0" applyFont="1" applyFill="1" applyBorder="1" applyAlignment="1">
      <alignment horizontal="center" vertical="center"/>
    </xf>
    <xf numFmtId="0" fontId="29" fillId="13" borderId="7" xfId="0" applyFont="1" applyFill="1" applyBorder="1" applyAlignment="1">
      <alignment horizontal="center" vertical="center"/>
    </xf>
    <xf numFmtId="0" fontId="29" fillId="13" borderId="8" xfId="0" applyFont="1" applyFill="1" applyBorder="1" applyAlignment="1">
      <alignment horizontal="center" vertical="center"/>
    </xf>
    <xf numFmtId="0" fontId="29" fillId="13" borderId="9" xfId="0" applyFont="1" applyFill="1" applyBorder="1" applyAlignment="1">
      <alignment horizontal="center" vertical="center"/>
    </xf>
    <xf numFmtId="0" fontId="29" fillId="14" borderId="7" xfId="0" applyFont="1" applyFill="1" applyBorder="1" applyAlignment="1">
      <alignment horizontal="left" vertical="center" indent="1"/>
    </xf>
    <xf numFmtId="0" fontId="29" fillId="14" borderId="8" xfId="0" applyFont="1" applyFill="1" applyBorder="1" applyAlignment="1">
      <alignment horizontal="left" vertical="center" indent="1"/>
    </xf>
    <xf numFmtId="0" fontId="29" fillId="14" borderId="9" xfId="0" applyFont="1" applyFill="1" applyBorder="1" applyAlignment="1">
      <alignment horizontal="left" vertical="center" indent="1"/>
    </xf>
    <xf numFmtId="0" fontId="31" fillId="16" borderId="27" xfId="0" applyFont="1" applyFill="1" applyBorder="1" applyAlignment="1">
      <alignment horizontal="left" vertical="center" indent="1"/>
    </xf>
    <xf numFmtId="0" fontId="31" fillId="16" borderId="28" xfId="0" applyFont="1" applyFill="1" applyBorder="1" applyAlignment="1">
      <alignment horizontal="left" vertical="center" indent="1"/>
    </xf>
    <xf numFmtId="0" fontId="31" fillId="16" borderId="29" xfId="0" applyFont="1" applyFill="1" applyBorder="1" applyAlignment="1">
      <alignment horizontal="left" vertical="center" indent="1"/>
    </xf>
    <xf numFmtId="0" fontId="31" fillId="16" borderId="17" xfId="0" applyFont="1" applyFill="1" applyBorder="1" applyAlignment="1">
      <alignment horizontal="left" vertical="center" indent="1"/>
    </xf>
    <xf numFmtId="10" fontId="29" fillId="17" borderId="52" xfId="7" applyNumberFormat="1" applyFont="1" applyFill="1" applyBorder="1" applyAlignment="1">
      <alignment horizontal="right" vertical="center"/>
    </xf>
    <xf numFmtId="10" fontId="29" fillId="17" borderId="12" xfId="7" applyNumberFormat="1" applyFont="1" applyFill="1" applyBorder="1" applyAlignment="1">
      <alignment horizontal="right" vertical="center"/>
    </xf>
    <xf numFmtId="10" fontId="29" fillId="18" borderId="53" xfId="7" applyNumberFormat="1" applyFont="1" applyFill="1" applyBorder="1" applyAlignment="1">
      <alignment horizontal="right" vertical="center"/>
    </xf>
    <xf numFmtId="10" fontId="29" fillId="18" borderId="18" xfId="7" applyNumberFormat="1" applyFont="1" applyFill="1" applyBorder="1" applyAlignment="1">
      <alignment horizontal="right" vertical="center"/>
    </xf>
    <xf numFmtId="43" fontId="29" fillId="17" borderId="54" xfId="4" applyFont="1" applyFill="1" applyBorder="1" applyAlignment="1">
      <alignment horizontal="right" vertical="center"/>
    </xf>
    <xf numFmtId="43" fontId="29" fillId="17" borderId="55" xfId="4" applyFont="1" applyFill="1" applyBorder="1" applyAlignment="1">
      <alignment horizontal="right" vertical="center"/>
    </xf>
    <xf numFmtId="0" fontId="31" fillId="16" borderId="11" xfId="0" applyFont="1" applyFill="1" applyBorder="1" applyAlignment="1">
      <alignment horizontal="left" vertical="center" indent="1"/>
    </xf>
    <xf numFmtId="0" fontId="22" fillId="8" borderId="0" xfId="0" applyFont="1" applyFill="1"/>
    <xf numFmtId="0" fontId="22" fillId="0" borderId="6" xfId="0" applyFont="1" applyBorder="1"/>
    <xf numFmtId="0" fontId="22" fillId="0" borderId="13" xfId="0" applyFont="1" applyBorder="1"/>
    <xf numFmtId="0" fontId="22" fillId="0" borderId="19" xfId="0" applyFont="1" applyBorder="1"/>
    <xf numFmtId="0" fontId="21" fillId="9" borderId="7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0" fontId="21" fillId="9" borderId="9" xfId="0" applyFont="1" applyFill="1" applyBorder="1" applyAlignment="1">
      <alignment horizontal="center" vertical="center"/>
    </xf>
    <xf numFmtId="0" fontId="25" fillId="10" borderId="10" xfId="0" applyFont="1" applyFill="1" applyBorder="1" applyAlignment="1">
      <alignment horizontal="left" vertical="top"/>
    </xf>
    <xf numFmtId="0" fontId="25" fillId="10" borderId="11" xfId="0" applyFont="1" applyFill="1" applyBorder="1" applyAlignment="1">
      <alignment horizontal="left" vertical="top"/>
    </xf>
    <xf numFmtId="0" fontId="25" fillId="10" borderId="12" xfId="0" applyFont="1" applyFill="1" applyBorder="1" applyAlignment="1">
      <alignment horizontal="left" vertical="top"/>
    </xf>
    <xf numFmtId="0" fontId="26" fillId="0" borderId="14" xfId="0" applyFont="1" applyBorder="1" applyAlignment="1">
      <alignment horizontal="left" indent="1"/>
    </xf>
    <xf numFmtId="0" fontId="26" fillId="0" borderId="15" xfId="0" applyFont="1" applyBorder="1" applyAlignment="1">
      <alignment horizontal="left" indent="1"/>
    </xf>
    <xf numFmtId="0" fontId="26" fillId="0" borderId="20" xfId="0" applyFont="1" applyBorder="1" applyAlignment="1">
      <alignment horizontal="left" indent="1"/>
    </xf>
    <xf numFmtId="0" fontId="26" fillId="0" borderId="21" xfId="0" applyFont="1" applyBorder="1" applyAlignment="1">
      <alignment horizontal="left" indent="1"/>
    </xf>
    <xf numFmtId="0" fontId="18" fillId="0" borderId="0" xfId="1" applyFont="1" applyAlignment="1">
      <alignment horizontal="center"/>
    </xf>
    <xf numFmtId="0" fontId="19" fillId="0" borderId="0" xfId="1" applyFont="1"/>
    <xf numFmtId="0" fontId="16" fillId="0" borderId="0" xfId="1" applyFont="1" applyAlignment="1">
      <alignment horizontal="center"/>
    </xf>
    <xf numFmtId="0" fontId="17" fillId="0" borderId="0" xfId="1" applyFont="1"/>
    <xf numFmtId="0" fontId="4" fillId="4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3" fillId="3" borderId="0" xfId="0" applyFont="1" applyFill="1"/>
    <xf numFmtId="0" fontId="14" fillId="4" borderId="0" xfId="0" applyFont="1" applyFill="1" applyAlignment="1">
      <alignment horizontal="left" vertical="top" wrapText="1"/>
    </xf>
    <xf numFmtId="0" fontId="3" fillId="5" borderId="0" xfId="0" applyFont="1" applyFill="1"/>
    <xf numFmtId="0" fontId="4" fillId="5" borderId="0" xfId="0" applyFont="1" applyFill="1" applyAlignment="1">
      <alignment horizontal="left" vertical="top" wrapText="1"/>
    </xf>
  </cellXfs>
  <cellStyles count="10">
    <cellStyle name="Comma 2" xfId="4"/>
    <cellStyle name="Currency" xfId="6" builtinId="4"/>
    <cellStyle name="Currency 2" xfId="9"/>
    <cellStyle name="Currency 6" xfId="3"/>
    <cellStyle name="Normal" xfId="0" builtinId="0"/>
    <cellStyle name="Normal 10 2" xfId="1"/>
    <cellStyle name="Normal 2" xfId="8"/>
    <cellStyle name="Normal 2 2" xfId="2"/>
    <cellStyle name="Normal 3" xfId="5"/>
    <cellStyle name="Percent" xfId="7" builtinId="5"/>
  </cellStyles>
  <dxfs count="1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22/10/relationships/richValueRel" Target="richData/richValueRel.xml"/><Relationship Id="rId30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235405</xdr:colOff>
      <xdr:row>11</xdr:row>
      <xdr:rowOff>8014</xdr:rowOff>
    </xdr:from>
    <xdr:to>
      <xdr:col>40</xdr:col>
      <xdr:colOff>370741</xdr:colOff>
      <xdr:row>11</xdr:row>
      <xdr:rowOff>170997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FC166120-5C31-45C4-B293-05A69E946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630" y="1639964"/>
          <a:ext cx="1723291" cy="1598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k/Dropbox%20(Personal)/DGK%20Property%20Investments%20LLC/Cutting%20Edge%20Real%20Estate%20Investment/Deals/Allaire/Allaire%20on%2041st_Deal_Analyzer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k/MGM%20CAPITAL%20Dropbox/Mark%20Kekich/PC/Downloads/Allaire%20on%2041st_Deal_Analyzer%20(Budget-Actual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k/Dropbox%20(Personal)/DGK%20Property%20Investments%20LLC/Cutting%20Edge%20Real%20Estate%20Investment/Deals/Allaire/Accounting/2025/Q2/Allaire%20-%20Top%20level%20financials_accrued_v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llaire%20-%20Top%20level%20financials_accrued_v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k/Dropbox%20(Personal)/DGK%20Property%20Investments%20LLC/Cutting%20Edge%20Real%20Estate%20Investment/Deals/Allaire/Accounting/2025/Q2/Allaire%20on%2041st%20-%20Financial%20Info%206-30-2025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Financial"/>
      <sheetName val="Sheet6"/>
      <sheetName val="Sheet1"/>
      <sheetName val="Sheet2"/>
      <sheetName val="Rent Analysis"/>
      <sheetName val="Sheet4"/>
      <sheetName val="Sheet5"/>
      <sheetName val="Sheet3"/>
      <sheetName val="Admin - Payroll - RE Taxes"/>
      <sheetName val="Improvements"/>
      <sheetName val="Closing Costs"/>
      <sheetName val="Sources &amp; Uses"/>
      <sheetName val="Sponsor Cash Flows"/>
      <sheetName val="Misc. Calculations"/>
      <sheetName val="Loan Amortization"/>
    </sheetNames>
    <sheetDataSet>
      <sheetData sheetId="0"/>
      <sheetData sheetId="1">
        <row r="12">
          <cell r="B12" t="str">
            <v>Allaire on 41st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9">
          <cell r="C59">
            <v>12065000</v>
          </cell>
        </row>
      </sheetData>
      <sheetData sheetId="15">
        <row r="5">
          <cell r="D5">
            <v>12065000</v>
          </cell>
        </row>
        <row r="6">
          <cell r="D6">
            <v>5.9799999999999999E-2</v>
          </cell>
        </row>
        <row r="7">
          <cell r="D7">
            <v>30</v>
          </cell>
        </row>
        <row r="8">
          <cell r="D8">
            <v>45809</v>
          </cell>
        </row>
        <row r="9">
          <cell r="D9">
            <v>0</v>
          </cell>
        </row>
        <row r="12">
          <cell r="D12">
            <v>72180.70750002694</v>
          </cell>
        </row>
        <row r="19">
          <cell r="A19">
            <v>1</v>
          </cell>
          <cell r="C19">
            <v>12065000</v>
          </cell>
          <cell r="D19">
            <v>72180.70750002694</v>
          </cell>
          <cell r="E19">
            <v>0</v>
          </cell>
          <cell r="F19">
            <v>72180.70750002694</v>
          </cell>
          <cell r="G19">
            <v>12056.790833360275</v>
          </cell>
          <cell r="H19">
            <v>60123.916666666664</v>
          </cell>
          <cell r="I19">
            <v>12052943.20916664</v>
          </cell>
        </row>
        <row r="20">
          <cell r="A20">
            <v>2</v>
          </cell>
          <cell r="C20">
            <v>12052943.20916664</v>
          </cell>
          <cell r="D20">
            <v>72180.70750002694</v>
          </cell>
          <cell r="E20">
            <v>0</v>
          </cell>
          <cell r="F20">
            <v>72180.70750002694</v>
          </cell>
          <cell r="G20">
            <v>12116.873841013185</v>
          </cell>
          <cell r="H20">
            <v>60063.833659013755</v>
          </cell>
          <cell r="I20">
            <v>12040826.335325627</v>
          </cell>
        </row>
        <row r="21">
          <cell r="A21">
            <v>3</v>
          </cell>
          <cell r="C21">
            <v>12040826.335325627</v>
          </cell>
          <cell r="D21">
            <v>72180.70750002694</v>
          </cell>
          <cell r="E21">
            <v>0</v>
          </cell>
          <cell r="F21">
            <v>72180.70750002694</v>
          </cell>
          <cell r="G21">
            <v>12177.256262320901</v>
          </cell>
          <cell r="H21">
            <v>60003.451237706038</v>
          </cell>
          <cell r="I21">
            <v>12028649.079063306</v>
          </cell>
        </row>
        <row r="22">
          <cell r="A22">
            <v>4</v>
          </cell>
          <cell r="C22">
            <v>12028649.079063306</v>
          </cell>
          <cell r="D22">
            <v>72180.70750002694</v>
          </cell>
          <cell r="E22">
            <v>0</v>
          </cell>
          <cell r="F22">
            <v>72180.70750002694</v>
          </cell>
          <cell r="G22">
            <v>12237.939589361464</v>
          </cell>
          <cell r="H22">
            <v>59942.767910665476</v>
          </cell>
          <cell r="I22">
            <v>12016411.139473945</v>
          </cell>
        </row>
        <row r="23">
          <cell r="A23">
            <v>5</v>
          </cell>
          <cell r="C23">
            <v>12016411.139473945</v>
          </cell>
          <cell r="D23">
            <v>72180.70750002694</v>
          </cell>
          <cell r="E23">
            <v>0</v>
          </cell>
          <cell r="F23">
            <v>72180.70750002694</v>
          </cell>
          <cell r="G23">
            <v>12298.92532164845</v>
          </cell>
          <cell r="H23">
            <v>59881.782178378489</v>
          </cell>
          <cell r="I23">
            <v>12004112.214152297</v>
          </cell>
        </row>
        <row r="24">
          <cell r="A24">
            <v>6</v>
          </cell>
          <cell r="C24">
            <v>12004112.214152297</v>
          </cell>
          <cell r="D24">
            <v>72180.70750002694</v>
          </cell>
          <cell r="E24">
            <v>0</v>
          </cell>
          <cell r="F24">
            <v>72180.70750002694</v>
          </cell>
          <cell r="G24">
            <v>12360.214966167994</v>
          </cell>
          <cell r="H24">
            <v>59820.492533858946</v>
          </cell>
          <cell r="I24">
            <v>11991751.999186128</v>
          </cell>
        </row>
        <row r="25">
          <cell r="A25">
            <v>7</v>
          </cell>
          <cell r="C25">
            <v>11991751.999186128</v>
          </cell>
          <cell r="D25">
            <v>72180.70750002694</v>
          </cell>
          <cell r="E25">
            <v>0</v>
          </cell>
          <cell r="F25">
            <v>72180.70750002694</v>
          </cell>
          <cell r="G25">
            <v>12421.810037416064</v>
          </cell>
          <cell r="H25">
            <v>59758.897462610876</v>
          </cell>
          <cell r="I25">
            <v>11979330.189148713</v>
          </cell>
        </row>
        <row r="26">
          <cell r="A26">
            <v>8</v>
          </cell>
          <cell r="C26">
            <v>11979330.189148713</v>
          </cell>
          <cell r="D26">
            <v>72180.70750002694</v>
          </cell>
          <cell r="E26">
            <v>0</v>
          </cell>
          <cell r="F26">
            <v>72180.70750002694</v>
          </cell>
          <cell r="G26">
            <v>12483.712057435856</v>
          </cell>
          <cell r="H26">
            <v>59696.995442591084</v>
          </cell>
          <cell r="I26">
            <v>11966846.477091277</v>
          </cell>
        </row>
        <row r="27">
          <cell r="A27">
            <v>9</v>
          </cell>
          <cell r="C27">
            <v>11966846.477091277</v>
          </cell>
          <cell r="D27">
            <v>72180.70750002694</v>
          </cell>
          <cell r="E27">
            <v>0</v>
          </cell>
          <cell r="F27">
            <v>72180.70750002694</v>
          </cell>
          <cell r="G27">
            <v>12545.92255585541</v>
          </cell>
          <cell r="H27">
            <v>59634.78494417153</v>
          </cell>
          <cell r="I27">
            <v>11954300.554535422</v>
          </cell>
        </row>
        <row r="28">
          <cell r="A28">
            <v>10</v>
          </cell>
          <cell r="C28">
            <v>11954300.554535422</v>
          </cell>
          <cell r="D28">
            <v>72180.70750002694</v>
          </cell>
          <cell r="E28">
            <v>0</v>
          </cell>
          <cell r="F28">
            <v>72180.70750002694</v>
          </cell>
          <cell r="G28">
            <v>12608.443069925415</v>
          </cell>
          <cell r="H28">
            <v>59572.264430101524</v>
          </cell>
          <cell r="I28">
            <v>11941692.111465497</v>
          </cell>
        </row>
        <row r="29">
          <cell r="A29">
            <v>11</v>
          </cell>
          <cell r="C29">
            <v>11941692.111465497</v>
          </cell>
          <cell r="D29">
            <v>72180.70750002694</v>
          </cell>
          <cell r="E29">
            <v>0</v>
          </cell>
          <cell r="F29">
            <v>72180.70750002694</v>
          </cell>
          <cell r="G29">
            <v>12671.275144557214</v>
          </cell>
          <cell r="H29">
            <v>59509.432355469726</v>
          </cell>
          <cell r="I29">
            <v>11929020.83632094</v>
          </cell>
        </row>
        <row r="30">
          <cell r="A30">
            <v>12</v>
          </cell>
          <cell r="C30">
            <v>11929020.83632094</v>
          </cell>
          <cell r="D30">
            <v>72180.70750002694</v>
          </cell>
          <cell r="E30">
            <v>0</v>
          </cell>
          <cell r="F30">
            <v>72180.70750002694</v>
          </cell>
          <cell r="G30">
            <v>12734.420332360925</v>
          </cell>
          <cell r="H30">
            <v>59446.287167666014</v>
          </cell>
          <cell r="I30">
            <v>11916286.415988579</v>
          </cell>
        </row>
        <row r="31">
          <cell r="A31">
            <v>13</v>
          </cell>
          <cell r="C31">
            <v>11916286.415988579</v>
          </cell>
          <cell r="D31">
            <v>72180.70750002694</v>
          </cell>
          <cell r="E31">
            <v>0</v>
          </cell>
          <cell r="F31">
            <v>72180.70750002694</v>
          </cell>
          <cell r="G31">
            <v>12797.88019368385</v>
          </cell>
          <cell r="H31">
            <v>59382.82730634309</v>
          </cell>
          <cell r="I31">
            <v>11903488.535794895</v>
          </cell>
        </row>
        <row r="32">
          <cell r="A32">
            <v>14</v>
          </cell>
          <cell r="C32">
            <v>11903488.535794895</v>
          </cell>
          <cell r="D32">
            <v>72180.70750002694</v>
          </cell>
          <cell r="E32">
            <v>0</v>
          </cell>
          <cell r="F32">
            <v>72180.70750002694</v>
          </cell>
          <cell r="G32">
            <v>12861.656296649046</v>
          </cell>
          <cell r="H32">
            <v>59319.051203377894</v>
          </cell>
          <cell r="I32">
            <v>11890626.879498245</v>
          </cell>
        </row>
        <row r="33">
          <cell r="A33">
            <v>15</v>
          </cell>
          <cell r="C33">
            <v>11890626.879498245</v>
          </cell>
          <cell r="D33">
            <v>72180.70750002694</v>
          </cell>
          <cell r="E33">
            <v>0</v>
          </cell>
          <cell r="F33">
            <v>72180.70750002694</v>
          </cell>
          <cell r="G33">
            <v>12925.750217194021</v>
          </cell>
          <cell r="H33">
            <v>59254.957282832918</v>
          </cell>
          <cell r="I33">
            <v>11877701.129281051</v>
          </cell>
        </row>
        <row r="34">
          <cell r="A34">
            <v>16</v>
          </cell>
          <cell r="C34">
            <v>11877701.129281051</v>
          </cell>
          <cell r="D34">
            <v>72180.70750002694</v>
          </cell>
          <cell r="E34">
            <v>0</v>
          </cell>
          <cell r="F34">
            <v>72180.70750002694</v>
          </cell>
          <cell r="G34">
            <v>12990.163539109701</v>
          </cell>
          <cell r="H34">
            <v>59190.543960917239</v>
          </cell>
          <cell r="I34">
            <v>11864710.965741942</v>
          </cell>
        </row>
        <row r="35">
          <cell r="A35">
            <v>17</v>
          </cell>
          <cell r="C35">
            <v>11864710.965741942</v>
          </cell>
          <cell r="D35">
            <v>72180.70750002694</v>
          </cell>
          <cell r="E35">
            <v>0</v>
          </cell>
          <cell r="F35">
            <v>72180.70750002694</v>
          </cell>
          <cell r="G35">
            <v>13054.897854079602</v>
          </cell>
          <cell r="H35">
            <v>59125.809645947338</v>
          </cell>
          <cell r="I35">
            <v>11851656.067887861</v>
          </cell>
        </row>
        <row r="36">
          <cell r="A36">
            <v>18</v>
          </cell>
          <cell r="C36">
            <v>11851656.067887861</v>
          </cell>
          <cell r="D36">
            <v>72180.70750002694</v>
          </cell>
          <cell r="E36">
            <v>0</v>
          </cell>
          <cell r="F36">
            <v>72180.70750002694</v>
          </cell>
          <cell r="G36">
            <v>13119.954761719098</v>
          </cell>
          <cell r="H36">
            <v>59060.752738307841</v>
          </cell>
          <cell r="I36">
            <v>11838536.113126142</v>
          </cell>
        </row>
        <row r="37">
          <cell r="A37">
            <v>19</v>
          </cell>
          <cell r="C37">
            <v>11838536.113126142</v>
          </cell>
          <cell r="D37">
            <v>72180.70750002694</v>
          </cell>
          <cell r="E37">
            <v>0</v>
          </cell>
          <cell r="F37">
            <v>72180.70750002694</v>
          </cell>
          <cell r="G37">
            <v>13185.335869614995</v>
          </cell>
          <cell r="H37">
            <v>58995.371630411944</v>
          </cell>
          <cell r="I37">
            <v>11825350.777256526</v>
          </cell>
        </row>
        <row r="38">
          <cell r="A38">
            <v>20</v>
          </cell>
          <cell r="C38">
            <v>11825350.777256526</v>
          </cell>
          <cell r="D38">
            <v>72180.70750002694</v>
          </cell>
          <cell r="E38">
            <v>0</v>
          </cell>
          <cell r="F38">
            <v>72180.70750002694</v>
          </cell>
          <cell r="G38">
            <v>13251.042793365254</v>
          </cell>
          <cell r="H38">
            <v>58929.664706661686</v>
          </cell>
          <cell r="I38">
            <v>11812099.734463161</v>
          </cell>
        </row>
        <row r="39">
          <cell r="A39">
            <v>21</v>
          </cell>
          <cell r="C39">
            <v>11812099.734463161</v>
          </cell>
          <cell r="D39">
            <v>72180.70750002694</v>
          </cell>
          <cell r="E39">
            <v>0</v>
          </cell>
          <cell r="F39">
            <v>72180.70750002694</v>
          </cell>
          <cell r="G39">
            <v>13317.077156618856</v>
          </cell>
          <cell r="H39">
            <v>58863.630343408084</v>
          </cell>
          <cell r="I39">
            <v>11798782.657306543</v>
          </cell>
        </row>
        <row r="40">
          <cell r="A40">
            <v>22</v>
          </cell>
          <cell r="C40">
            <v>11798782.657306543</v>
          </cell>
          <cell r="D40">
            <v>72180.70750002694</v>
          </cell>
          <cell r="E40">
            <v>0</v>
          </cell>
          <cell r="F40">
            <v>72180.70750002694</v>
          </cell>
          <cell r="G40">
            <v>13383.440591115999</v>
          </cell>
          <cell r="H40">
            <v>58797.26690891094</v>
          </cell>
          <cell r="I40">
            <v>11785399.216715427</v>
          </cell>
        </row>
        <row r="41">
          <cell r="A41">
            <v>23</v>
          </cell>
          <cell r="C41">
            <v>11785399.216715427</v>
          </cell>
          <cell r="D41">
            <v>72180.70750002694</v>
          </cell>
          <cell r="E41">
            <v>0</v>
          </cell>
          <cell r="F41">
            <v>72180.70750002694</v>
          </cell>
          <cell r="G41">
            <v>13450.134736728396</v>
          </cell>
          <cell r="H41">
            <v>58730.572763298544</v>
          </cell>
          <cell r="I41">
            <v>11771949.081978699</v>
          </cell>
        </row>
        <row r="42">
          <cell r="A42">
            <v>24</v>
          </cell>
          <cell r="C42">
            <v>11771949.081978699</v>
          </cell>
          <cell r="D42">
            <v>72180.70750002694</v>
          </cell>
          <cell r="E42">
            <v>0</v>
          </cell>
          <cell r="F42">
            <v>72180.70750002694</v>
          </cell>
          <cell r="G42">
            <v>13517.161241499758</v>
          </cell>
          <cell r="H42">
            <v>58663.546258527182</v>
          </cell>
          <cell r="I42">
            <v>11758431.920737199</v>
          </cell>
        </row>
        <row r="43">
          <cell r="A43">
            <v>25</v>
          </cell>
          <cell r="C43">
            <v>11758431.920737199</v>
          </cell>
          <cell r="D43">
            <v>72180.70750002694</v>
          </cell>
          <cell r="E43">
            <v>0</v>
          </cell>
          <cell r="F43">
            <v>72180.70750002694</v>
          </cell>
          <cell r="G43">
            <v>13584.521761686563</v>
          </cell>
          <cell r="H43">
            <v>58596.185738340377</v>
          </cell>
          <cell r="I43">
            <v>11744847.398975512</v>
          </cell>
        </row>
        <row r="44">
          <cell r="A44">
            <v>26</v>
          </cell>
          <cell r="C44">
            <v>11744847.398975512</v>
          </cell>
          <cell r="D44">
            <v>72180.70750002694</v>
          </cell>
          <cell r="E44">
            <v>0</v>
          </cell>
          <cell r="F44">
            <v>72180.70750002694</v>
          </cell>
          <cell r="G44">
            <v>13652.217961798975</v>
          </cell>
          <cell r="H44">
            <v>58528.489538227965</v>
          </cell>
          <cell r="I44">
            <v>11731195.181013713</v>
          </cell>
        </row>
        <row r="45">
          <cell r="A45">
            <v>27</v>
          </cell>
          <cell r="C45">
            <v>11731195.181013713</v>
          </cell>
          <cell r="D45">
            <v>72180.70750002694</v>
          </cell>
          <cell r="E45">
            <v>0</v>
          </cell>
          <cell r="F45">
            <v>72180.70750002694</v>
          </cell>
          <cell r="G45">
            <v>13720.251514641939</v>
          </cell>
          <cell r="H45">
            <v>58460.455985385001</v>
          </cell>
          <cell r="I45">
            <v>11717474.929499071</v>
          </cell>
        </row>
        <row r="46">
          <cell r="A46">
            <v>28</v>
          </cell>
          <cell r="C46">
            <v>11717474.929499071</v>
          </cell>
          <cell r="D46">
            <v>72180.70750002694</v>
          </cell>
          <cell r="E46">
            <v>0</v>
          </cell>
          <cell r="F46">
            <v>72180.70750002694</v>
          </cell>
          <cell r="G46">
            <v>13788.624101356574</v>
          </cell>
          <cell r="H46">
            <v>58392.083398670366</v>
          </cell>
          <cell r="I46">
            <v>11703686.305397715</v>
          </cell>
        </row>
        <row r="47">
          <cell r="A47">
            <v>29</v>
          </cell>
          <cell r="C47">
            <v>11703686.305397715</v>
          </cell>
          <cell r="D47">
            <v>72180.70750002694</v>
          </cell>
          <cell r="E47">
            <v>0</v>
          </cell>
          <cell r="F47">
            <v>72180.70750002694</v>
          </cell>
          <cell r="G47">
            <v>13857.33741146166</v>
          </cell>
          <cell r="H47">
            <v>58323.37008856528</v>
          </cell>
          <cell r="I47">
            <v>11689828.967986254</v>
          </cell>
        </row>
        <row r="48">
          <cell r="A48">
            <v>30</v>
          </cell>
          <cell r="C48">
            <v>11689828.967986254</v>
          </cell>
          <cell r="D48">
            <v>72180.70750002694</v>
          </cell>
          <cell r="E48">
            <v>0</v>
          </cell>
          <cell r="F48">
            <v>72180.70750002694</v>
          </cell>
          <cell r="G48">
            <v>13926.393142895446</v>
          </cell>
          <cell r="H48">
            <v>58254.314357131494</v>
          </cell>
          <cell r="I48">
            <v>11675902.574843358</v>
          </cell>
        </row>
        <row r="49">
          <cell r="A49">
            <v>31</v>
          </cell>
          <cell r="C49">
            <v>11675902.574843358</v>
          </cell>
          <cell r="D49">
            <v>72180.70750002694</v>
          </cell>
          <cell r="E49">
            <v>0</v>
          </cell>
          <cell r="F49">
            <v>72180.70750002694</v>
          </cell>
          <cell r="G49">
            <v>13995.793002057537</v>
          </cell>
          <cell r="H49">
            <v>58184.914497969403</v>
          </cell>
          <cell r="I49">
            <v>11661906.7818413</v>
          </cell>
        </row>
        <row r="50">
          <cell r="A50">
            <v>32</v>
          </cell>
          <cell r="C50">
            <v>11661906.7818413</v>
          </cell>
          <cell r="D50">
            <v>72180.70750002694</v>
          </cell>
          <cell r="E50">
            <v>0</v>
          </cell>
          <cell r="F50">
            <v>72180.70750002694</v>
          </cell>
          <cell r="G50">
            <v>14065.538703851133</v>
          </cell>
          <cell r="H50">
            <v>58115.168796175807</v>
          </cell>
          <cell r="I50">
            <v>11647841.243137449</v>
          </cell>
        </row>
        <row r="51">
          <cell r="A51">
            <v>33</v>
          </cell>
          <cell r="C51">
            <v>11647841.243137449</v>
          </cell>
          <cell r="D51">
            <v>72180.70750002694</v>
          </cell>
          <cell r="E51">
            <v>0</v>
          </cell>
          <cell r="F51">
            <v>72180.70750002694</v>
          </cell>
          <cell r="G51">
            <v>14135.631971725321</v>
          </cell>
          <cell r="H51">
            <v>58045.075528301619</v>
          </cell>
          <cell r="I51">
            <v>11633705.611165723</v>
          </cell>
        </row>
        <row r="52">
          <cell r="A52">
            <v>34</v>
          </cell>
          <cell r="C52">
            <v>11633705.611165723</v>
          </cell>
          <cell r="D52">
            <v>72180.70750002694</v>
          </cell>
          <cell r="E52">
            <v>0</v>
          </cell>
          <cell r="F52">
            <v>72180.70750002694</v>
          </cell>
          <cell r="G52">
            <v>14206.074537717759</v>
          </cell>
          <cell r="H52">
            <v>57974.632962309181</v>
          </cell>
          <cell r="I52">
            <v>11619499.536628004</v>
          </cell>
        </row>
        <row r="53">
          <cell r="A53">
            <v>35</v>
          </cell>
          <cell r="C53">
            <v>11619499.536628004</v>
          </cell>
          <cell r="D53">
            <v>72180.70750002694</v>
          </cell>
          <cell r="E53">
            <v>0</v>
          </cell>
          <cell r="F53">
            <v>72180.70750002694</v>
          </cell>
          <cell r="G53">
            <v>14276.868142497384</v>
          </cell>
          <cell r="H53">
            <v>57903.839357529556</v>
          </cell>
          <cell r="I53">
            <v>11605222.668485507</v>
          </cell>
        </row>
        <row r="54">
          <cell r="A54">
            <v>36</v>
          </cell>
          <cell r="C54">
            <v>11605222.668485507</v>
          </cell>
          <cell r="D54">
            <v>72180.70750002694</v>
          </cell>
          <cell r="E54">
            <v>0</v>
          </cell>
          <cell r="F54">
            <v>72180.70750002694</v>
          </cell>
          <cell r="G54">
            <v>14348.014535407499</v>
          </cell>
          <cell r="H54">
            <v>57832.69296461944</v>
          </cell>
          <cell r="I54">
            <v>11590874.653950101</v>
          </cell>
        </row>
        <row r="55">
          <cell r="A55">
            <v>37</v>
          </cell>
          <cell r="C55">
            <v>11590874.653950101</v>
          </cell>
          <cell r="D55">
            <v>72180.70750002694</v>
          </cell>
          <cell r="E55">
            <v>0</v>
          </cell>
          <cell r="F55">
            <v>72180.70750002694</v>
          </cell>
          <cell r="G55">
            <v>14419.515474508946</v>
          </cell>
          <cell r="H55">
            <v>57761.192025517994</v>
          </cell>
          <cell r="I55">
            <v>11576455.138475591</v>
          </cell>
        </row>
        <row r="56">
          <cell r="A56">
            <v>38</v>
          </cell>
          <cell r="C56">
            <v>11576455.138475591</v>
          </cell>
          <cell r="D56">
            <v>72180.70750002694</v>
          </cell>
          <cell r="E56">
            <v>0</v>
          </cell>
          <cell r="F56">
            <v>72180.70750002694</v>
          </cell>
          <cell r="G56">
            <v>14491.37272662358</v>
          </cell>
          <cell r="H56">
            <v>57689.33477340336</v>
          </cell>
          <cell r="I56">
            <v>11561963.765748968</v>
          </cell>
        </row>
        <row r="57">
          <cell r="A57">
            <v>39</v>
          </cell>
          <cell r="C57">
            <v>11561963.765748968</v>
          </cell>
          <cell r="D57">
            <v>72180.70750002694</v>
          </cell>
          <cell r="E57">
            <v>0</v>
          </cell>
          <cell r="F57">
            <v>72180.70750002694</v>
          </cell>
          <cell r="G57">
            <v>14563.588067377917</v>
          </cell>
          <cell r="H57">
            <v>57617.119432649022</v>
          </cell>
          <cell r="I57">
            <v>11547400.177681591</v>
          </cell>
        </row>
        <row r="58">
          <cell r="A58">
            <v>40</v>
          </cell>
          <cell r="C58">
            <v>11547400.177681591</v>
          </cell>
          <cell r="D58">
            <v>72180.70750002694</v>
          </cell>
          <cell r="E58">
            <v>0</v>
          </cell>
          <cell r="F58">
            <v>72180.70750002694</v>
          </cell>
          <cell r="G58">
            <v>14636.163281247012</v>
          </cell>
          <cell r="H58">
            <v>57544.544218779927</v>
          </cell>
          <cell r="I58">
            <v>11532764.014400344</v>
          </cell>
        </row>
        <row r="59">
          <cell r="A59">
            <v>41</v>
          </cell>
          <cell r="C59">
            <v>11532764.014400344</v>
          </cell>
          <cell r="D59">
            <v>72180.70750002694</v>
          </cell>
          <cell r="E59">
            <v>0</v>
          </cell>
          <cell r="F59">
            <v>72180.70750002694</v>
          </cell>
          <cell r="G59">
            <v>14709.100161598559</v>
          </cell>
          <cell r="H59">
            <v>57471.607338428381</v>
          </cell>
          <cell r="I59">
            <v>11518054.914238745</v>
          </cell>
        </row>
        <row r="60">
          <cell r="A60">
            <v>42</v>
          </cell>
          <cell r="C60">
            <v>11518054.914238745</v>
          </cell>
          <cell r="D60">
            <v>72180.70750002694</v>
          </cell>
          <cell r="E60">
            <v>0</v>
          </cell>
          <cell r="F60">
            <v>72180.70750002694</v>
          </cell>
          <cell r="G60">
            <v>14782.4005107372</v>
          </cell>
          <cell r="H60">
            <v>57398.30698928974</v>
          </cell>
          <cell r="I60">
            <v>11503272.513728008</v>
          </cell>
        </row>
        <row r="61">
          <cell r="A61">
            <v>43</v>
          </cell>
          <cell r="C61">
            <v>11503272.513728008</v>
          </cell>
          <cell r="D61">
            <v>72180.70750002694</v>
          </cell>
          <cell r="E61">
            <v>0</v>
          </cell>
          <cell r="F61">
            <v>72180.70750002694</v>
          </cell>
          <cell r="G61">
            <v>14856.066139949042</v>
          </cell>
          <cell r="H61">
            <v>57324.641360077898</v>
          </cell>
          <cell r="I61">
            <v>11488416.447588058</v>
          </cell>
        </row>
        <row r="62">
          <cell r="A62">
            <v>44</v>
          </cell>
          <cell r="C62">
            <v>11488416.447588058</v>
          </cell>
          <cell r="D62">
            <v>72180.70750002694</v>
          </cell>
          <cell r="E62">
            <v>0</v>
          </cell>
          <cell r="F62">
            <v>72180.70750002694</v>
          </cell>
          <cell r="G62">
            <v>14930.098869546455</v>
          </cell>
          <cell r="H62">
            <v>57250.608630480485</v>
          </cell>
          <cell r="I62">
            <v>11473486.348718511</v>
          </cell>
        </row>
        <row r="63">
          <cell r="A63">
            <v>45</v>
          </cell>
          <cell r="C63">
            <v>11473486.348718511</v>
          </cell>
          <cell r="D63">
            <v>72180.70750002694</v>
          </cell>
          <cell r="E63">
            <v>0</v>
          </cell>
          <cell r="F63">
            <v>72180.70750002694</v>
          </cell>
          <cell r="G63">
            <v>15004.500528913028</v>
          </cell>
          <cell r="H63">
            <v>57176.206971113912</v>
          </cell>
          <cell r="I63">
            <v>11458481.848189598</v>
          </cell>
        </row>
        <row r="64">
          <cell r="A64">
            <v>46</v>
          </cell>
          <cell r="C64">
            <v>11458481.848189598</v>
          </cell>
          <cell r="D64">
            <v>72180.70750002694</v>
          </cell>
          <cell r="E64">
            <v>0</v>
          </cell>
          <cell r="F64">
            <v>72180.70750002694</v>
          </cell>
          <cell r="G64">
            <v>15079.272956548775</v>
          </cell>
          <cell r="H64">
            <v>57101.434543478164</v>
          </cell>
          <cell r="I64">
            <v>11443402.57523305</v>
          </cell>
        </row>
        <row r="65">
          <cell r="A65">
            <v>47</v>
          </cell>
          <cell r="C65">
            <v>11443402.57523305</v>
          </cell>
          <cell r="D65">
            <v>72180.70750002694</v>
          </cell>
          <cell r="E65">
            <v>0</v>
          </cell>
          <cell r="F65">
            <v>72180.70750002694</v>
          </cell>
          <cell r="G65">
            <v>15154.418000115576</v>
          </cell>
          <cell r="H65">
            <v>57026.289499911363</v>
          </cell>
          <cell r="I65">
            <v>11428248.157232935</v>
          </cell>
        </row>
        <row r="66">
          <cell r="A66">
            <v>48</v>
          </cell>
          <cell r="C66">
            <v>11428248.157232935</v>
          </cell>
          <cell r="D66">
            <v>72180.70750002694</v>
          </cell>
          <cell r="E66">
            <v>0</v>
          </cell>
          <cell r="F66">
            <v>72180.70750002694</v>
          </cell>
          <cell r="G66">
            <v>15229.937516482816</v>
          </cell>
          <cell r="H66">
            <v>56950.769983544124</v>
          </cell>
          <cell r="I66">
            <v>11413018.219716452</v>
          </cell>
        </row>
        <row r="67">
          <cell r="A67">
            <v>49</v>
          </cell>
          <cell r="C67">
            <v>11413018.219716452</v>
          </cell>
          <cell r="D67">
            <v>72180.70750002694</v>
          </cell>
          <cell r="E67">
            <v>0</v>
          </cell>
          <cell r="F67">
            <v>72180.70750002694</v>
          </cell>
          <cell r="G67">
            <v>15305.833371773282</v>
          </cell>
          <cell r="H67">
            <v>56874.874128253658</v>
          </cell>
          <cell r="I67">
            <v>11397712.386344679</v>
          </cell>
        </row>
        <row r="68">
          <cell r="A68">
            <v>50</v>
          </cell>
          <cell r="C68">
            <v>11397712.386344679</v>
          </cell>
          <cell r="D68">
            <v>72180.70750002694</v>
          </cell>
          <cell r="E68">
            <v>0</v>
          </cell>
          <cell r="F68">
            <v>72180.70750002694</v>
          </cell>
          <cell r="G68">
            <v>15382.107441409287</v>
          </cell>
          <cell r="H68">
            <v>56798.600058617652</v>
          </cell>
          <cell r="I68">
            <v>11382330.27890327</v>
          </cell>
        </row>
        <row r="69">
          <cell r="A69">
            <v>51</v>
          </cell>
          <cell r="C69">
            <v>11382330.27890327</v>
          </cell>
          <cell r="D69">
            <v>72180.70750002694</v>
          </cell>
          <cell r="E69">
            <v>0</v>
          </cell>
          <cell r="F69">
            <v>72180.70750002694</v>
          </cell>
          <cell r="G69">
            <v>15458.761610158981</v>
          </cell>
          <cell r="H69">
            <v>56721.945889867959</v>
          </cell>
          <cell r="I69">
            <v>11366871.51729311</v>
          </cell>
        </row>
        <row r="70">
          <cell r="A70">
            <v>52</v>
          </cell>
          <cell r="C70">
            <v>11366871.51729311</v>
          </cell>
          <cell r="D70">
            <v>72180.70750002694</v>
          </cell>
          <cell r="E70">
            <v>0</v>
          </cell>
          <cell r="F70">
            <v>72180.70750002694</v>
          </cell>
          <cell r="G70">
            <v>15535.797772182937</v>
          </cell>
          <cell r="H70">
            <v>56644.909727844002</v>
          </cell>
          <cell r="I70">
            <v>11351335.719520928</v>
          </cell>
        </row>
        <row r="71">
          <cell r="A71">
            <v>53</v>
          </cell>
          <cell r="C71">
            <v>11351335.719520928</v>
          </cell>
          <cell r="D71">
            <v>72180.70750002694</v>
          </cell>
          <cell r="E71">
            <v>0</v>
          </cell>
          <cell r="F71">
            <v>72180.70750002694</v>
          </cell>
          <cell r="G71">
            <v>15613.217831080983</v>
          </cell>
          <cell r="H71">
            <v>56567.489668945957</v>
          </cell>
          <cell r="I71">
            <v>11335722.501689848</v>
          </cell>
        </row>
        <row r="72">
          <cell r="A72">
            <v>54</v>
          </cell>
          <cell r="C72">
            <v>11335722.501689848</v>
          </cell>
          <cell r="D72">
            <v>72180.70750002694</v>
          </cell>
          <cell r="E72">
            <v>0</v>
          </cell>
          <cell r="F72">
            <v>72180.70750002694</v>
          </cell>
          <cell r="G72">
            <v>15691.0236999392</v>
          </cell>
          <cell r="H72">
            <v>56489.68380008774</v>
          </cell>
          <cell r="I72">
            <v>11320031.477989908</v>
          </cell>
        </row>
        <row r="73">
          <cell r="A73">
            <v>55</v>
          </cell>
          <cell r="C73">
            <v>11320031.477989908</v>
          </cell>
          <cell r="D73">
            <v>72180.70750002694</v>
          </cell>
          <cell r="E73">
            <v>0</v>
          </cell>
          <cell r="F73">
            <v>72180.70750002694</v>
          </cell>
          <cell r="G73">
            <v>15769.217301377234</v>
          </cell>
          <cell r="H73">
            <v>56411.490198649706</v>
          </cell>
          <cell r="I73">
            <v>11304262.26068853</v>
          </cell>
        </row>
        <row r="74">
          <cell r="A74">
            <v>56</v>
          </cell>
          <cell r="C74">
            <v>11304262.26068853</v>
          </cell>
          <cell r="D74">
            <v>72180.70750002694</v>
          </cell>
          <cell r="E74">
            <v>0</v>
          </cell>
          <cell r="F74">
            <v>72180.70750002694</v>
          </cell>
          <cell r="G74">
            <v>15847.800567595761</v>
          </cell>
          <cell r="H74">
            <v>56332.906932431179</v>
          </cell>
          <cell r="I74">
            <v>11288414.460120935</v>
          </cell>
        </row>
        <row r="75">
          <cell r="A75">
            <v>57</v>
          </cell>
          <cell r="C75">
            <v>11288414.460120935</v>
          </cell>
          <cell r="D75">
            <v>72180.70750002694</v>
          </cell>
          <cell r="E75">
            <v>0</v>
          </cell>
          <cell r="F75">
            <v>72180.70750002694</v>
          </cell>
          <cell r="G75">
            <v>15926.775440424281</v>
          </cell>
          <cell r="H75">
            <v>56253.932059602659</v>
          </cell>
          <cell r="I75">
            <v>11272487.68468051</v>
          </cell>
        </row>
        <row r="76">
          <cell r="A76">
            <v>58</v>
          </cell>
          <cell r="C76">
            <v>11272487.68468051</v>
          </cell>
          <cell r="D76">
            <v>72180.70750002694</v>
          </cell>
          <cell r="E76">
            <v>0</v>
          </cell>
          <cell r="F76">
            <v>72180.70750002694</v>
          </cell>
          <cell r="G76">
            <v>16006.143871369066</v>
          </cell>
          <cell r="H76">
            <v>56174.563628657874</v>
          </cell>
          <cell r="I76">
            <v>11256481.540809141</v>
          </cell>
        </row>
        <row r="77">
          <cell r="A77">
            <v>59</v>
          </cell>
          <cell r="C77">
            <v>11256481.540809141</v>
          </cell>
          <cell r="D77">
            <v>72180.70750002694</v>
          </cell>
          <cell r="E77">
            <v>0</v>
          </cell>
          <cell r="F77">
            <v>72180.70750002694</v>
          </cell>
          <cell r="G77">
            <v>16085.907821661385</v>
          </cell>
          <cell r="H77">
            <v>56094.799678365554</v>
          </cell>
          <cell r="I77">
            <v>11240395.632987481</v>
          </cell>
        </row>
        <row r="78">
          <cell r="A78">
            <v>60</v>
          </cell>
          <cell r="C78">
            <v>11240395.632987481</v>
          </cell>
          <cell r="D78">
            <v>72180.70750002694</v>
          </cell>
          <cell r="E78">
            <v>0</v>
          </cell>
          <cell r="F78">
            <v>72180.70750002694</v>
          </cell>
          <cell r="G78">
            <v>16166.069262305995</v>
          </cell>
          <cell r="H78">
            <v>56014.638237720945</v>
          </cell>
          <cell r="I78">
            <v>11224229.563725175</v>
          </cell>
        </row>
        <row r="79">
          <cell r="A79">
            <v>61</v>
          </cell>
          <cell r="C79">
            <v>11224229.563725175</v>
          </cell>
          <cell r="D79">
            <v>72180.70750002694</v>
          </cell>
          <cell r="E79">
            <v>0</v>
          </cell>
          <cell r="F79">
            <v>72180.70750002694</v>
          </cell>
          <cell r="G79">
            <v>16246.630174129816</v>
          </cell>
          <cell r="H79">
            <v>55934.077325897124</v>
          </cell>
          <cell r="I79">
            <v>11207982.933551045</v>
          </cell>
        </row>
        <row r="80">
          <cell r="A80">
            <v>62</v>
          </cell>
          <cell r="C80">
            <v>11207982.933551045</v>
          </cell>
          <cell r="D80">
            <v>72180.70750002694</v>
          </cell>
          <cell r="E80">
            <v>0</v>
          </cell>
          <cell r="F80">
            <v>72180.70750002694</v>
          </cell>
          <cell r="G80">
            <v>16327.5925478309</v>
          </cell>
          <cell r="H80">
            <v>55853.11495219604</v>
          </cell>
          <cell r="I80">
            <v>11191655.341003215</v>
          </cell>
        </row>
        <row r="81">
          <cell r="A81">
            <v>63</v>
          </cell>
          <cell r="C81">
            <v>11191655.341003215</v>
          </cell>
          <cell r="D81">
            <v>72180.70750002694</v>
          </cell>
          <cell r="E81">
            <v>0</v>
          </cell>
          <cell r="F81">
            <v>72180.70750002694</v>
          </cell>
          <cell r="G81">
            <v>16408.958384027588</v>
          </cell>
          <cell r="H81">
            <v>55771.749115999351</v>
          </cell>
          <cell r="I81">
            <v>11175246.382619187</v>
          </cell>
        </row>
        <row r="82">
          <cell r="A82">
            <v>64</v>
          </cell>
          <cell r="C82">
            <v>11175246.382619187</v>
          </cell>
          <cell r="D82">
            <v>72180.70750002694</v>
          </cell>
          <cell r="E82">
            <v>0</v>
          </cell>
          <cell r="F82">
            <v>72180.70750002694</v>
          </cell>
          <cell r="G82">
            <v>16490.729693307985</v>
          </cell>
          <cell r="H82">
            <v>55689.977806718955</v>
          </cell>
          <cell r="I82">
            <v>11158755.652925879</v>
          </cell>
        </row>
        <row r="83">
          <cell r="A83">
            <v>65</v>
          </cell>
          <cell r="C83">
            <v>11158755.652925879</v>
          </cell>
          <cell r="D83">
            <v>72180.70750002694</v>
          </cell>
          <cell r="E83">
            <v>0</v>
          </cell>
          <cell r="F83">
            <v>72180.70750002694</v>
          </cell>
          <cell r="G83">
            <v>16572.908496279648</v>
          </cell>
          <cell r="H83">
            <v>55607.799003747292</v>
          </cell>
          <cell r="I83">
            <v>11142182.744429599</v>
          </cell>
        </row>
        <row r="84">
          <cell r="A84">
            <v>66</v>
          </cell>
          <cell r="C84">
            <v>11142182.744429599</v>
          </cell>
          <cell r="D84">
            <v>72180.70750002694</v>
          </cell>
          <cell r="E84">
            <v>0</v>
          </cell>
          <cell r="F84">
            <v>72180.70750002694</v>
          </cell>
          <cell r="G84">
            <v>16655.49682361944</v>
          </cell>
          <cell r="H84">
            <v>55525.2106764075</v>
          </cell>
          <cell r="I84">
            <v>11125527.247605979</v>
          </cell>
        </row>
        <row r="85">
          <cell r="A85">
            <v>67</v>
          </cell>
          <cell r="C85">
            <v>11125527.247605979</v>
          </cell>
          <cell r="D85">
            <v>72180.70750002694</v>
          </cell>
          <cell r="E85">
            <v>0</v>
          </cell>
          <cell r="F85">
            <v>72180.70750002694</v>
          </cell>
          <cell r="G85">
            <v>16738.496716123809</v>
          </cell>
          <cell r="H85">
            <v>55442.210783903131</v>
          </cell>
          <cell r="I85">
            <v>11108788.750889856</v>
          </cell>
        </row>
        <row r="86">
          <cell r="A86">
            <v>68</v>
          </cell>
          <cell r="C86">
            <v>11108788.750889856</v>
          </cell>
          <cell r="D86">
            <v>72180.70750002694</v>
          </cell>
          <cell r="E86">
            <v>0</v>
          </cell>
          <cell r="F86">
            <v>72180.70750002694</v>
          </cell>
          <cell r="G86">
            <v>16821.910224759158</v>
          </cell>
          <cell r="H86">
            <v>55358.797275267782</v>
          </cell>
          <cell r="I86">
            <v>11091966.840665096</v>
          </cell>
        </row>
        <row r="87">
          <cell r="A87">
            <v>69</v>
          </cell>
          <cell r="C87">
            <v>11091966.840665096</v>
          </cell>
          <cell r="D87">
            <v>72180.70750002694</v>
          </cell>
          <cell r="E87">
            <v>0</v>
          </cell>
          <cell r="F87">
            <v>72180.70750002694</v>
          </cell>
          <cell r="G87">
            <v>16905.739410712536</v>
          </cell>
          <cell r="H87">
            <v>55274.968089314403</v>
          </cell>
          <cell r="I87">
            <v>11075061.101254383</v>
          </cell>
        </row>
        <row r="88">
          <cell r="A88">
            <v>70</v>
          </cell>
          <cell r="C88">
            <v>11075061.101254383</v>
          </cell>
          <cell r="D88">
            <v>72180.70750002694</v>
          </cell>
          <cell r="E88">
            <v>0</v>
          </cell>
          <cell r="F88">
            <v>72180.70750002694</v>
          </cell>
          <cell r="G88">
            <v>16989.986345442594</v>
          </cell>
          <cell r="H88">
            <v>55190.721154584346</v>
          </cell>
          <cell r="I88">
            <v>11058071.114908941</v>
          </cell>
        </row>
        <row r="89">
          <cell r="A89">
            <v>71</v>
          </cell>
          <cell r="C89">
            <v>11058071.114908941</v>
          </cell>
          <cell r="D89">
            <v>72180.70750002694</v>
          </cell>
          <cell r="E89">
            <v>0</v>
          </cell>
          <cell r="F89">
            <v>72180.70750002694</v>
          </cell>
          <cell r="G89">
            <v>17074.653110730716</v>
          </cell>
          <cell r="H89">
            <v>55106.054389296223</v>
          </cell>
          <cell r="I89">
            <v>11040996.46179821</v>
          </cell>
        </row>
        <row r="90">
          <cell r="A90">
            <v>72</v>
          </cell>
          <cell r="C90">
            <v>11040996.46179821</v>
          </cell>
          <cell r="D90">
            <v>72180.70750002694</v>
          </cell>
          <cell r="E90">
            <v>0</v>
          </cell>
          <cell r="F90">
            <v>72180.70750002694</v>
          </cell>
          <cell r="G90">
            <v>17159.741798732524</v>
          </cell>
          <cell r="H90">
            <v>55020.965701294415</v>
          </cell>
          <cell r="I90">
            <v>11023836.719999477</v>
          </cell>
        </row>
        <row r="91">
          <cell r="A91">
            <v>73</v>
          </cell>
          <cell r="C91">
            <v>11023836.719999477</v>
          </cell>
          <cell r="D91">
            <v>72180.70750002694</v>
          </cell>
          <cell r="E91">
            <v>0</v>
          </cell>
          <cell r="F91">
            <v>72180.70750002694</v>
          </cell>
          <cell r="G91">
            <v>17245.254512029547</v>
          </cell>
          <cell r="H91">
            <v>54935.452987997392</v>
          </cell>
          <cell r="I91">
            <v>11006591.465487448</v>
          </cell>
        </row>
        <row r="92">
          <cell r="A92">
            <v>74</v>
          </cell>
          <cell r="C92">
            <v>11006591.465487448</v>
          </cell>
          <cell r="D92">
            <v>72180.70750002694</v>
          </cell>
          <cell r="E92">
            <v>0</v>
          </cell>
          <cell r="F92">
            <v>72180.70750002694</v>
          </cell>
          <cell r="G92">
            <v>17331.193363681152</v>
          </cell>
          <cell r="H92">
            <v>54849.514136345788</v>
          </cell>
          <cell r="I92">
            <v>10989260.272123767</v>
          </cell>
        </row>
        <row r="93">
          <cell r="A93">
            <v>75</v>
          </cell>
          <cell r="C93">
            <v>10989260.272123767</v>
          </cell>
          <cell r="D93">
            <v>72180.70750002694</v>
          </cell>
          <cell r="E93">
            <v>0</v>
          </cell>
          <cell r="F93">
            <v>72180.70750002694</v>
          </cell>
          <cell r="G93">
            <v>17417.560477276835</v>
          </cell>
          <cell r="H93">
            <v>54763.147022750105</v>
          </cell>
          <cell r="I93">
            <v>10971842.71164649</v>
          </cell>
        </row>
        <row r="94">
          <cell r="A94">
            <v>76</v>
          </cell>
          <cell r="C94">
            <v>10971842.71164649</v>
          </cell>
          <cell r="D94">
            <v>72180.70750002694</v>
          </cell>
          <cell r="E94">
            <v>0</v>
          </cell>
          <cell r="F94">
            <v>72180.70750002694</v>
          </cell>
          <cell r="G94">
            <v>17504.357986988594</v>
          </cell>
          <cell r="H94">
            <v>54676.349513038345</v>
          </cell>
          <cell r="I94">
            <v>10954338.353659501</v>
          </cell>
        </row>
        <row r="95">
          <cell r="A95">
            <v>77</v>
          </cell>
          <cell r="C95">
            <v>10954338.353659501</v>
          </cell>
          <cell r="D95">
            <v>72180.70750002694</v>
          </cell>
          <cell r="E95">
            <v>0</v>
          </cell>
          <cell r="F95">
            <v>72180.70750002694</v>
          </cell>
          <cell r="G95">
            <v>17591.588037623762</v>
          </cell>
          <cell r="H95">
            <v>54589.119462403178</v>
          </cell>
          <cell r="I95">
            <v>10936746.765621878</v>
          </cell>
        </row>
        <row r="96">
          <cell r="A96">
            <v>78</v>
          </cell>
          <cell r="C96">
            <v>10936746.765621878</v>
          </cell>
          <cell r="D96">
            <v>72180.70750002694</v>
          </cell>
          <cell r="E96">
            <v>0</v>
          </cell>
          <cell r="F96">
            <v>72180.70750002694</v>
          </cell>
          <cell r="G96">
            <v>17679.252784677919</v>
          </cell>
          <cell r="H96">
            <v>54501.45471534902</v>
          </cell>
          <cell r="I96">
            <v>10919067.512837199</v>
          </cell>
        </row>
        <row r="97">
          <cell r="A97">
            <v>79</v>
          </cell>
          <cell r="C97">
            <v>10919067.512837199</v>
          </cell>
          <cell r="D97">
            <v>72180.70750002694</v>
          </cell>
          <cell r="E97">
            <v>0</v>
          </cell>
          <cell r="F97">
            <v>72180.70750002694</v>
          </cell>
          <cell r="G97">
            <v>17767.354394388232</v>
          </cell>
          <cell r="H97">
            <v>54413.353105638707</v>
          </cell>
          <cell r="I97">
            <v>10901300.158442812</v>
          </cell>
        </row>
        <row r="98">
          <cell r="A98">
            <v>80</v>
          </cell>
          <cell r="C98">
            <v>10901300.158442812</v>
          </cell>
          <cell r="D98">
            <v>72180.70750002694</v>
          </cell>
          <cell r="E98">
            <v>0</v>
          </cell>
          <cell r="F98">
            <v>72180.70750002694</v>
          </cell>
          <cell r="G98">
            <v>17855.895043786928</v>
          </cell>
          <cell r="H98">
            <v>54324.812456240012</v>
          </cell>
          <cell r="I98">
            <v>10883444.263399025</v>
          </cell>
        </row>
        <row r="99">
          <cell r="A99">
            <v>81</v>
          </cell>
          <cell r="C99">
            <v>10883444.263399025</v>
          </cell>
          <cell r="D99">
            <v>72180.70750002694</v>
          </cell>
          <cell r="E99">
            <v>0</v>
          </cell>
          <cell r="F99">
            <v>72180.70750002694</v>
          </cell>
          <cell r="G99">
            <v>17944.87692075513</v>
          </cell>
          <cell r="H99">
            <v>54235.830579271809</v>
          </cell>
          <cell r="I99">
            <v>10865499.386478269</v>
          </cell>
        </row>
        <row r="100">
          <cell r="A100">
            <v>82</v>
          </cell>
          <cell r="C100">
            <v>10865499.386478269</v>
          </cell>
          <cell r="D100">
            <v>72180.70750002694</v>
          </cell>
          <cell r="E100">
            <v>0</v>
          </cell>
          <cell r="F100">
            <v>72180.70750002694</v>
          </cell>
          <cell r="G100">
            <v>18034.302224076899</v>
          </cell>
          <cell r="H100">
            <v>54146.405275950041</v>
          </cell>
          <cell r="I100">
            <v>10847465.084254192</v>
          </cell>
        </row>
        <row r="101">
          <cell r="A101">
            <v>83</v>
          </cell>
          <cell r="C101">
            <v>10847465.084254192</v>
          </cell>
          <cell r="D101">
            <v>72180.70750002694</v>
          </cell>
          <cell r="E101">
            <v>0</v>
          </cell>
          <cell r="F101">
            <v>72180.70750002694</v>
          </cell>
          <cell r="G101">
            <v>18124.17316349355</v>
          </cell>
          <cell r="H101">
            <v>54056.53433653339</v>
          </cell>
          <cell r="I101">
            <v>10829340.911090698</v>
          </cell>
        </row>
        <row r="102">
          <cell r="A102">
            <v>84</v>
          </cell>
          <cell r="C102">
            <v>10829340.911090698</v>
          </cell>
          <cell r="D102">
            <v>72180.70750002694</v>
          </cell>
          <cell r="E102">
            <v>0</v>
          </cell>
          <cell r="F102">
            <v>72180.70750002694</v>
          </cell>
          <cell r="G102">
            <v>18214.491959758299</v>
          </cell>
          <cell r="H102">
            <v>53966.21554026864</v>
          </cell>
          <cell r="I102">
            <v>10811126.41913094</v>
          </cell>
        </row>
        <row r="103">
          <cell r="A103">
            <v>85</v>
          </cell>
          <cell r="C103">
            <v>10811126.41913094</v>
          </cell>
          <cell r="D103">
            <v>72180.70750002694</v>
          </cell>
          <cell r="E103">
            <v>0</v>
          </cell>
          <cell r="F103">
            <v>72180.70750002694</v>
          </cell>
          <cell r="G103">
            <v>18305.260844691096</v>
          </cell>
          <cell r="H103">
            <v>53875.446655335843</v>
          </cell>
          <cell r="I103">
            <v>10792821.158286249</v>
          </cell>
        </row>
        <row r="104">
          <cell r="A104">
            <v>86</v>
          </cell>
          <cell r="C104">
            <v>10792821.158286249</v>
          </cell>
          <cell r="D104">
            <v>72180.70750002694</v>
          </cell>
          <cell r="E104">
            <v>0</v>
          </cell>
          <cell r="F104">
            <v>72180.70750002694</v>
          </cell>
          <cell r="G104">
            <v>18396.482061233801</v>
          </cell>
          <cell r="H104">
            <v>53784.225438793139</v>
          </cell>
          <cell r="I104">
            <v>10774424.676225016</v>
          </cell>
        </row>
        <row r="105">
          <cell r="A105">
            <v>87</v>
          </cell>
          <cell r="C105">
            <v>10774424.676225016</v>
          </cell>
          <cell r="D105">
            <v>72180.70750002694</v>
          </cell>
          <cell r="E105">
            <v>0</v>
          </cell>
          <cell r="F105">
            <v>72180.70750002694</v>
          </cell>
          <cell r="G105">
            <v>18488.157863505614</v>
          </cell>
          <cell r="H105">
            <v>53692.549636521326</v>
          </cell>
          <cell r="I105">
            <v>10755936.518361511</v>
          </cell>
        </row>
        <row r="106">
          <cell r="A106">
            <v>88</v>
          </cell>
          <cell r="C106">
            <v>10755936.518361511</v>
          </cell>
          <cell r="D106">
            <v>72180.70750002694</v>
          </cell>
          <cell r="E106">
            <v>0</v>
          </cell>
          <cell r="F106">
            <v>72180.70750002694</v>
          </cell>
          <cell r="G106">
            <v>18580.290516858746</v>
          </cell>
          <cell r="H106">
            <v>53600.416983168194</v>
          </cell>
          <cell r="I106">
            <v>10737356.227844652</v>
          </cell>
        </row>
        <row r="107">
          <cell r="A107">
            <v>89</v>
          </cell>
          <cell r="C107">
            <v>10737356.227844652</v>
          </cell>
          <cell r="D107">
            <v>72180.70750002694</v>
          </cell>
          <cell r="E107">
            <v>0</v>
          </cell>
          <cell r="F107">
            <v>72180.70750002694</v>
          </cell>
          <cell r="G107">
            <v>18672.882297934419</v>
          </cell>
          <cell r="H107">
            <v>53507.825202092521</v>
          </cell>
          <cell r="I107">
            <v>10718683.345546717</v>
          </cell>
        </row>
        <row r="108">
          <cell r="A108">
            <v>90</v>
          </cell>
          <cell r="C108">
            <v>10718683.345546717</v>
          </cell>
          <cell r="D108">
            <v>72180.70750002694</v>
          </cell>
          <cell r="E108">
            <v>0</v>
          </cell>
          <cell r="F108">
            <v>72180.70750002694</v>
          </cell>
          <cell r="G108">
            <v>18765.935494719131</v>
          </cell>
          <cell r="H108">
            <v>53414.772005307808</v>
          </cell>
          <cell r="I108">
            <v>10699917.410051998</v>
          </cell>
        </row>
        <row r="109">
          <cell r="A109">
            <v>91</v>
          </cell>
          <cell r="C109">
            <v>10699917.410051998</v>
          </cell>
          <cell r="D109">
            <v>72180.70750002694</v>
          </cell>
          <cell r="E109">
            <v>0</v>
          </cell>
          <cell r="F109">
            <v>72180.70750002694</v>
          </cell>
          <cell r="G109">
            <v>18859.452406601158</v>
          </cell>
          <cell r="H109">
            <v>53321.255093425782</v>
          </cell>
          <cell r="I109">
            <v>10681057.957645396</v>
          </cell>
        </row>
        <row r="110">
          <cell r="A110">
            <v>92</v>
          </cell>
          <cell r="C110">
            <v>10681057.957645396</v>
          </cell>
          <cell r="D110">
            <v>72180.70750002694</v>
          </cell>
          <cell r="E110">
            <v>0</v>
          </cell>
          <cell r="F110">
            <v>72180.70750002694</v>
          </cell>
          <cell r="G110">
            <v>18953.435344427387</v>
          </cell>
          <cell r="H110">
            <v>53227.272155599552</v>
          </cell>
          <cell r="I110">
            <v>10662104.522300968</v>
          </cell>
        </row>
        <row r="111">
          <cell r="A111">
            <v>93</v>
          </cell>
          <cell r="C111">
            <v>10662104.522300968</v>
          </cell>
          <cell r="D111">
            <v>72180.70750002694</v>
          </cell>
          <cell r="E111">
            <v>0</v>
          </cell>
          <cell r="F111">
            <v>72180.70750002694</v>
          </cell>
          <cell r="G111">
            <v>19047.886630560446</v>
          </cell>
          <cell r="H111">
            <v>53132.820869466494</v>
          </cell>
          <cell r="I111">
            <v>10643056.635670407</v>
          </cell>
        </row>
        <row r="112">
          <cell r="A112">
            <v>94</v>
          </cell>
          <cell r="C112">
            <v>10643056.635670407</v>
          </cell>
          <cell r="D112">
            <v>72180.70750002694</v>
          </cell>
          <cell r="E112">
            <v>0</v>
          </cell>
          <cell r="F112">
            <v>72180.70750002694</v>
          </cell>
          <cell r="G112">
            <v>19142.808598936077</v>
          </cell>
          <cell r="H112">
            <v>53037.898901090863</v>
          </cell>
          <cell r="I112">
            <v>10623913.827071471</v>
          </cell>
        </row>
        <row r="113">
          <cell r="A113">
            <v>95</v>
          </cell>
          <cell r="C113">
            <v>10623913.827071471</v>
          </cell>
          <cell r="D113">
            <v>72180.70750002694</v>
          </cell>
          <cell r="E113">
            <v>0</v>
          </cell>
          <cell r="F113">
            <v>72180.70750002694</v>
          </cell>
          <cell r="G113">
            <v>19238.20359512078</v>
          </cell>
          <cell r="H113">
            <v>52942.50390490616</v>
          </cell>
          <cell r="I113">
            <v>10604675.623476351</v>
          </cell>
        </row>
        <row r="114">
          <cell r="A114">
            <v>96</v>
          </cell>
          <cell r="C114">
            <v>10604675.623476351</v>
          </cell>
          <cell r="D114">
            <v>72180.70750002694</v>
          </cell>
          <cell r="E114">
            <v>0</v>
          </cell>
          <cell r="F114">
            <v>72180.70750002694</v>
          </cell>
          <cell r="G114">
            <v>19334.0739763698</v>
          </cell>
          <cell r="H114">
            <v>52846.633523657139</v>
          </cell>
          <cell r="I114">
            <v>10585341.549499981</v>
          </cell>
        </row>
        <row r="115">
          <cell r="A115">
            <v>97</v>
          </cell>
          <cell r="C115">
            <v>10585341.549499981</v>
          </cell>
          <cell r="D115">
            <v>72180.70750002694</v>
          </cell>
          <cell r="E115">
            <v>0</v>
          </cell>
          <cell r="F115">
            <v>72180.70750002694</v>
          </cell>
          <cell r="G115">
            <v>19430.422111685366</v>
          </cell>
          <cell r="H115">
            <v>52750.285388341574</v>
          </cell>
          <cell r="I115">
            <v>10565911.127388297</v>
          </cell>
        </row>
        <row r="116">
          <cell r="A116">
            <v>98</v>
          </cell>
          <cell r="C116">
            <v>10565911.127388297</v>
          </cell>
          <cell r="D116">
            <v>72180.70750002694</v>
          </cell>
          <cell r="E116">
            <v>0</v>
          </cell>
          <cell r="F116">
            <v>72180.70750002694</v>
          </cell>
          <cell r="G116">
            <v>19527.250381875259</v>
          </cell>
          <cell r="H116">
            <v>52653.45711815168</v>
          </cell>
          <cell r="I116">
            <v>10546383.877006421</v>
          </cell>
        </row>
        <row r="117">
          <cell r="A117">
            <v>99</v>
          </cell>
          <cell r="C117">
            <v>10546383.877006421</v>
          </cell>
          <cell r="D117">
            <v>72180.70750002694</v>
          </cell>
          <cell r="E117">
            <v>0</v>
          </cell>
          <cell r="F117">
            <v>72180.70750002694</v>
          </cell>
          <cell r="G117">
            <v>19624.561179611606</v>
          </cell>
          <cell r="H117">
            <v>52556.146320415333</v>
          </cell>
          <cell r="I117">
            <v>10526759.315826809</v>
          </cell>
        </row>
        <row r="118">
          <cell r="A118">
            <v>100</v>
          </cell>
          <cell r="C118">
            <v>10526759.315826809</v>
          </cell>
          <cell r="D118">
            <v>72180.70750002694</v>
          </cell>
          <cell r="E118">
            <v>0</v>
          </cell>
          <cell r="F118">
            <v>72180.70750002694</v>
          </cell>
          <cell r="G118">
            <v>19722.356909490009</v>
          </cell>
          <cell r="H118">
            <v>52458.350590536931</v>
          </cell>
          <cell r="I118">
            <v>10507036.95891732</v>
          </cell>
        </row>
        <row r="119">
          <cell r="A119">
            <v>101</v>
          </cell>
          <cell r="C119">
            <v>10507036.95891732</v>
          </cell>
          <cell r="D119">
            <v>72180.70750002694</v>
          </cell>
          <cell r="E119">
            <v>0</v>
          </cell>
          <cell r="F119">
            <v>72180.70750002694</v>
          </cell>
          <cell r="G119">
            <v>19820.639988088958</v>
          </cell>
          <cell r="H119">
            <v>52360.067511937981</v>
          </cell>
          <cell r="I119">
            <v>10487216.318929231</v>
          </cell>
        </row>
        <row r="120">
          <cell r="A120">
            <v>102</v>
          </cell>
          <cell r="C120">
            <v>10487216.318929231</v>
          </cell>
          <cell r="D120">
            <v>72180.70750002694</v>
          </cell>
          <cell r="E120">
            <v>0</v>
          </cell>
          <cell r="F120">
            <v>72180.70750002694</v>
          </cell>
          <cell r="G120">
            <v>19919.412844029604</v>
          </cell>
          <cell r="H120">
            <v>52261.294655997335</v>
          </cell>
          <cell r="I120">
            <v>10467296.906085201</v>
          </cell>
        </row>
        <row r="121">
          <cell r="A121">
            <v>103</v>
          </cell>
          <cell r="C121">
            <v>10467296.906085201</v>
          </cell>
          <cell r="D121">
            <v>72180.70750002694</v>
          </cell>
          <cell r="E121">
            <v>0</v>
          </cell>
          <cell r="F121">
            <v>72180.70750002694</v>
          </cell>
          <cell r="G121">
            <v>20018.67791803569</v>
          </cell>
          <cell r="H121">
            <v>52162.02958199125</v>
          </cell>
          <cell r="I121">
            <v>10447278.228167165</v>
          </cell>
        </row>
        <row r="122">
          <cell r="A122">
            <v>104</v>
          </cell>
          <cell r="C122">
            <v>10447278.228167165</v>
          </cell>
          <cell r="D122">
            <v>72180.70750002694</v>
          </cell>
          <cell r="E122">
            <v>0</v>
          </cell>
          <cell r="F122">
            <v>72180.70750002694</v>
          </cell>
          <cell r="G122">
            <v>20118.4376629939</v>
          </cell>
          <cell r="H122">
            <v>52062.26983703304</v>
          </cell>
          <cell r="I122">
            <v>10427159.790504171</v>
          </cell>
        </row>
        <row r="123">
          <cell r="A123">
            <v>105</v>
          </cell>
          <cell r="C123">
            <v>10427159.790504171</v>
          </cell>
          <cell r="D123">
            <v>72180.70750002694</v>
          </cell>
          <cell r="E123">
            <v>0</v>
          </cell>
          <cell r="F123">
            <v>72180.70750002694</v>
          </cell>
          <cell r="G123">
            <v>20218.694544014492</v>
          </cell>
          <cell r="H123">
            <v>51962.012956012448</v>
          </cell>
          <cell r="I123">
            <v>10406941.095960157</v>
          </cell>
        </row>
        <row r="124">
          <cell r="A124">
            <v>106</v>
          </cell>
          <cell r="C124">
            <v>10406941.095960157</v>
          </cell>
          <cell r="D124">
            <v>72180.70750002694</v>
          </cell>
          <cell r="E124">
            <v>0</v>
          </cell>
          <cell r="F124">
            <v>72180.70750002694</v>
          </cell>
          <cell r="G124">
            <v>20319.451038492152</v>
          </cell>
          <cell r="H124">
            <v>51861.256461534787</v>
          </cell>
          <cell r="I124">
            <v>10386621.644921664</v>
          </cell>
        </row>
        <row r="125">
          <cell r="A125">
            <v>107</v>
          </cell>
          <cell r="C125">
            <v>10386621.644921664</v>
          </cell>
          <cell r="D125">
            <v>72180.70750002694</v>
          </cell>
          <cell r="E125">
            <v>0</v>
          </cell>
          <cell r="F125">
            <v>72180.70750002694</v>
          </cell>
          <cell r="G125">
            <v>20420.70963616731</v>
          </cell>
          <cell r="H125">
            <v>51759.997863859629</v>
          </cell>
          <cell r="I125">
            <v>10366200.935285497</v>
          </cell>
        </row>
        <row r="126">
          <cell r="A126">
            <v>108</v>
          </cell>
          <cell r="C126">
            <v>10366200.935285497</v>
          </cell>
          <cell r="D126">
            <v>72180.70750002694</v>
          </cell>
          <cell r="E126">
            <v>0</v>
          </cell>
          <cell r="F126">
            <v>72180.70750002694</v>
          </cell>
          <cell r="G126">
            <v>20522.472839187547</v>
          </cell>
          <cell r="H126">
            <v>51658.234660839393</v>
          </cell>
          <cell r="I126">
            <v>10345678.46244631</v>
          </cell>
        </row>
        <row r="127">
          <cell r="A127">
            <v>109</v>
          </cell>
          <cell r="C127">
            <v>10345678.46244631</v>
          </cell>
          <cell r="D127">
            <v>72180.70750002694</v>
          </cell>
          <cell r="E127">
            <v>0</v>
          </cell>
          <cell r="F127">
            <v>72180.70750002694</v>
          </cell>
          <cell r="G127">
            <v>20624.7431621695</v>
          </cell>
          <cell r="H127">
            <v>51555.96433785744</v>
          </cell>
          <cell r="I127">
            <v>10325053.71928414</v>
          </cell>
        </row>
        <row r="128">
          <cell r="A128">
            <v>110</v>
          </cell>
          <cell r="C128">
            <v>10325053.71928414</v>
          </cell>
          <cell r="D128">
            <v>72180.70750002694</v>
          </cell>
          <cell r="E128">
            <v>0</v>
          </cell>
          <cell r="F128">
            <v>72180.70750002694</v>
          </cell>
          <cell r="G128">
            <v>20727.523132260976</v>
          </cell>
          <cell r="H128">
            <v>51453.184367765964</v>
          </cell>
          <cell r="I128">
            <v>10304326.196151879</v>
          </cell>
        </row>
        <row r="129">
          <cell r="A129">
            <v>111</v>
          </cell>
          <cell r="C129">
            <v>10304326.196151879</v>
          </cell>
          <cell r="D129">
            <v>72180.70750002694</v>
          </cell>
          <cell r="E129">
            <v>0</v>
          </cell>
          <cell r="F129">
            <v>72180.70750002694</v>
          </cell>
          <cell r="G129">
            <v>20830.815289203405</v>
          </cell>
          <cell r="H129">
            <v>51349.892210823535</v>
          </cell>
          <cell r="I129">
            <v>10283495.380862676</v>
          </cell>
        </row>
        <row r="130">
          <cell r="A130">
            <v>112</v>
          </cell>
          <cell r="C130">
            <v>10283495.380862676</v>
          </cell>
          <cell r="D130">
            <v>72180.70750002694</v>
          </cell>
          <cell r="E130">
            <v>0</v>
          </cell>
          <cell r="F130">
            <v>72180.70750002694</v>
          </cell>
          <cell r="G130">
            <v>20934.622185394604</v>
          </cell>
          <cell r="H130">
            <v>51246.085314632335</v>
          </cell>
          <cell r="I130">
            <v>10262560.758677281</v>
          </cell>
        </row>
        <row r="131">
          <cell r="A131">
            <v>113</v>
          </cell>
          <cell r="C131">
            <v>10262560.758677281</v>
          </cell>
          <cell r="D131">
            <v>72180.70750002694</v>
          </cell>
          <cell r="E131">
            <v>0</v>
          </cell>
          <cell r="F131">
            <v>72180.70750002694</v>
          </cell>
          <cell r="G131">
            <v>21038.946385951822</v>
          </cell>
          <cell r="H131">
            <v>51141.761114075118</v>
          </cell>
          <cell r="I131">
            <v>10241521.81229133</v>
          </cell>
        </row>
        <row r="132">
          <cell r="A132">
            <v>114</v>
          </cell>
          <cell r="C132">
            <v>10241521.81229133</v>
          </cell>
          <cell r="D132">
            <v>72180.70750002694</v>
          </cell>
          <cell r="E132">
            <v>0</v>
          </cell>
          <cell r="F132">
            <v>72180.70750002694</v>
          </cell>
          <cell r="G132">
            <v>21143.790468775143</v>
          </cell>
          <cell r="H132">
            <v>51036.917031251796</v>
          </cell>
          <cell r="I132">
            <v>10220378.021822555</v>
          </cell>
        </row>
        <row r="133">
          <cell r="A133">
            <v>115</v>
          </cell>
          <cell r="C133">
            <v>10220378.021822555</v>
          </cell>
          <cell r="D133">
            <v>72180.70750002694</v>
          </cell>
          <cell r="E133">
            <v>0</v>
          </cell>
          <cell r="F133">
            <v>72180.70750002694</v>
          </cell>
          <cell r="G133">
            <v>21249.157024611202</v>
          </cell>
          <cell r="H133">
            <v>50931.550475415737</v>
          </cell>
          <cell r="I133">
            <v>10199128.864797944</v>
          </cell>
        </row>
        <row r="134">
          <cell r="A134">
            <v>116</v>
          </cell>
          <cell r="C134">
            <v>10199128.864797944</v>
          </cell>
          <cell r="D134">
            <v>72180.70750002694</v>
          </cell>
          <cell r="E134">
            <v>0</v>
          </cell>
          <cell r="F134">
            <v>72180.70750002694</v>
          </cell>
          <cell r="G134">
            <v>21355.048657117186</v>
          </cell>
          <cell r="H134">
            <v>50825.658842909754</v>
          </cell>
          <cell r="I134">
            <v>10177773.816140827</v>
          </cell>
        </row>
        <row r="135">
          <cell r="A135">
            <v>117</v>
          </cell>
          <cell r="C135">
            <v>10177773.816140827</v>
          </cell>
          <cell r="D135">
            <v>72180.70750002694</v>
          </cell>
          <cell r="E135">
            <v>0</v>
          </cell>
          <cell r="F135">
            <v>72180.70750002694</v>
          </cell>
          <cell r="G135">
            <v>21461.467982925155</v>
          </cell>
          <cell r="H135">
            <v>50719.239517101785</v>
          </cell>
          <cell r="I135">
            <v>10156312.348157901</v>
          </cell>
        </row>
        <row r="136">
          <cell r="A136">
            <v>118</v>
          </cell>
          <cell r="C136">
            <v>10156312.348157901</v>
          </cell>
          <cell r="D136">
            <v>72180.70750002694</v>
          </cell>
          <cell r="E136">
            <v>0</v>
          </cell>
          <cell r="F136">
            <v>72180.70750002694</v>
          </cell>
          <cell r="G136">
            <v>21568.417631706739</v>
          </cell>
          <cell r="H136">
            <v>50612.2898683202</v>
          </cell>
          <cell r="I136">
            <v>10134743.930526195</v>
          </cell>
        </row>
        <row r="137">
          <cell r="A137">
            <v>119</v>
          </cell>
          <cell r="C137">
            <v>10134743.930526195</v>
          </cell>
          <cell r="D137">
            <v>72180.70750002694</v>
          </cell>
          <cell r="E137">
            <v>0</v>
          </cell>
          <cell r="F137">
            <v>72180.70750002694</v>
          </cell>
          <cell r="G137">
            <v>21675.900246238067</v>
          </cell>
          <cell r="H137">
            <v>50504.807253788873</v>
          </cell>
          <cell r="I137">
            <v>10113068.030279957</v>
          </cell>
        </row>
        <row r="138">
          <cell r="A138">
            <v>120</v>
          </cell>
          <cell r="C138">
            <v>10113068.030279957</v>
          </cell>
          <cell r="D138">
            <v>72180.70750002694</v>
          </cell>
          <cell r="E138">
            <v>0</v>
          </cell>
          <cell r="F138">
            <v>72180.70750002694</v>
          </cell>
          <cell r="G138">
            <v>21783.918482465153</v>
          </cell>
          <cell r="H138">
            <v>50396.789017561787</v>
          </cell>
          <cell r="I138">
            <v>10091284.111797491</v>
          </cell>
        </row>
        <row r="139">
          <cell r="A139">
            <v>121</v>
          </cell>
          <cell r="C139">
            <v>10091284.111797491</v>
          </cell>
          <cell r="D139">
            <v>72180.70750002694</v>
          </cell>
          <cell r="E139">
            <v>0</v>
          </cell>
          <cell r="F139">
            <v>72180.70750002694</v>
          </cell>
          <cell r="G139">
            <v>21892.47500956944</v>
          </cell>
          <cell r="H139">
            <v>50288.2324904575</v>
          </cell>
          <cell r="I139">
            <v>10069391.636787921</v>
          </cell>
        </row>
        <row r="140">
          <cell r="A140">
            <v>122</v>
          </cell>
          <cell r="C140">
            <v>10069391.636787921</v>
          </cell>
          <cell r="D140">
            <v>72180.70750002694</v>
          </cell>
          <cell r="E140">
            <v>0</v>
          </cell>
          <cell r="F140">
            <v>72180.70750002694</v>
          </cell>
          <cell r="G140">
            <v>22001.572510033795</v>
          </cell>
          <cell r="H140">
            <v>50179.134989993145</v>
          </cell>
          <cell r="I140">
            <v>10047390.064277887</v>
          </cell>
        </row>
        <row r="141">
          <cell r="A141">
            <v>123</v>
          </cell>
          <cell r="C141">
            <v>10047390.064277887</v>
          </cell>
          <cell r="D141">
            <v>72180.70750002694</v>
          </cell>
          <cell r="E141">
            <v>0</v>
          </cell>
          <cell r="F141">
            <v>72180.70750002694</v>
          </cell>
          <cell r="G141">
            <v>22111.213679708802</v>
          </cell>
          <cell r="H141">
            <v>50069.493820318137</v>
          </cell>
          <cell r="I141">
            <v>10025278.850598179</v>
          </cell>
        </row>
        <row r="142">
          <cell r="A142">
            <v>124</v>
          </cell>
          <cell r="C142">
            <v>10025278.850598179</v>
          </cell>
          <cell r="D142">
            <v>72180.70750002694</v>
          </cell>
          <cell r="E142">
            <v>0</v>
          </cell>
          <cell r="F142">
            <v>72180.70750002694</v>
          </cell>
          <cell r="G142">
            <v>22221.401227879345</v>
          </cell>
          <cell r="H142">
            <v>49959.306272147594</v>
          </cell>
          <cell r="I142">
            <v>10003057.449370299</v>
          </cell>
        </row>
        <row r="143">
          <cell r="A143">
            <v>125</v>
          </cell>
          <cell r="C143">
            <v>10003057.449370299</v>
          </cell>
          <cell r="D143">
            <v>72180.70750002694</v>
          </cell>
          <cell r="E143">
            <v>0</v>
          </cell>
          <cell r="F143">
            <v>72180.70750002694</v>
          </cell>
          <cell r="G143">
            <v>22332.137877331617</v>
          </cell>
          <cell r="H143">
            <v>49848.569622695322</v>
          </cell>
          <cell r="I143">
            <v>9980725.3114929665</v>
          </cell>
        </row>
        <row r="144">
          <cell r="A144">
            <v>126</v>
          </cell>
          <cell r="C144">
            <v>9980725.3114929665</v>
          </cell>
          <cell r="D144">
            <v>72180.70750002694</v>
          </cell>
          <cell r="E144">
            <v>0</v>
          </cell>
          <cell r="F144">
            <v>72180.70750002694</v>
          </cell>
          <cell r="G144">
            <v>22443.426364420324</v>
          </cell>
          <cell r="H144">
            <v>49737.281135606616</v>
          </cell>
          <cell r="I144">
            <v>9958281.8851285465</v>
          </cell>
        </row>
        <row r="145">
          <cell r="A145">
            <v>127</v>
          </cell>
          <cell r="C145">
            <v>9958281.8851285465</v>
          </cell>
          <cell r="D145">
            <v>72180.70750002694</v>
          </cell>
          <cell r="E145">
            <v>0</v>
          </cell>
          <cell r="F145">
            <v>72180.70750002694</v>
          </cell>
          <cell r="G145">
            <v>22555.269439136348</v>
          </cell>
          <cell r="H145">
            <v>49625.438060890592</v>
          </cell>
          <cell r="I145">
            <v>9935726.6156894099</v>
          </cell>
        </row>
        <row r="146">
          <cell r="A146">
            <v>128</v>
          </cell>
          <cell r="C146">
            <v>9935726.6156894099</v>
          </cell>
          <cell r="D146">
            <v>72180.70750002694</v>
          </cell>
          <cell r="E146">
            <v>0</v>
          </cell>
          <cell r="F146">
            <v>72180.70750002694</v>
          </cell>
          <cell r="G146">
            <v>22667.669865174714</v>
          </cell>
          <cell r="H146">
            <v>49513.037634852226</v>
          </cell>
          <cell r="I146">
            <v>9913058.9458242357</v>
          </cell>
        </row>
        <row r="147">
          <cell r="A147">
            <v>129</v>
          </cell>
          <cell r="C147">
            <v>9913058.9458242357</v>
          </cell>
          <cell r="D147">
            <v>72180.70750002694</v>
          </cell>
          <cell r="E147">
            <v>0</v>
          </cell>
          <cell r="F147">
            <v>72180.70750002694</v>
          </cell>
          <cell r="G147">
            <v>22780.630420002832</v>
          </cell>
          <cell r="H147">
            <v>49400.077080024108</v>
          </cell>
          <cell r="I147">
            <v>9890278.3154042326</v>
          </cell>
        </row>
        <row r="148">
          <cell r="A148">
            <v>130</v>
          </cell>
          <cell r="C148">
            <v>9890278.3154042326</v>
          </cell>
          <cell r="D148">
            <v>72180.70750002694</v>
          </cell>
          <cell r="E148">
            <v>0</v>
          </cell>
          <cell r="F148">
            <v>72180.70750002694</v>
          </cell>
          <cell r="G148">
            <v>22894.153894929186</v>
          </cell>
          <cell r="H148">
            <v>49286.553605097753</v>
          </cell>
          <cell r="I148">
            <v>9867384.1615093034</v>
          </cell>
        </row>
        <row r="149">
          <cell r="A149">
            <v>131</v>
          </cell>
          <cell r="C149">
            <v>9867384.1615093034</v>
          </cell>
          <cell r="D149">
            <v>72180.70750002694</v>
          </cell>
          <cell r="E149">
            <v>0</v>
          </cell>
          <cell r="F149">
            <v>72180.70750002694</v>
          </cell>
          <cell r="G149">
            <v>23008.243095172249</v>
          </cell>
          <cell r="H149">
            <v>49172.464404854691</v>
          </cell>
          <cell r="I149">
            <v>9844375.9184141308</v>
          </cell>
        </row>
        <row r="150">
          <cell r="A150">
            <v>132</v>
          </cell>
          <cell r="C150">
            <v>9844375.9184141308</v>
          </cell>
          <cell r="D150">
            <v>72180.70750002694</v>
          </cell>
          <cell r="E150">
            <v>0</v>
          </cell>
          <cell r="F150">
            <v>72180.70750002694</v>
          </cell>
          <cell r="G150">
            <v>23122.900839929855</v>
          </cell>
          <cell r="H150">
            <v>49057.806660097085</v>
          </cell>
          <cell r="I150">
            <v>9821253.0175742004</v>
          </cell>
        </row>
        <row r="151">
          <cell r="A151">
            <v>133</v>
          </cell>
          <cell r="C151">
            <v>9821253.0175742004</v>
          </cell>
          <cell r="D151">
            <v>72180.70750002694</v>
          </cell>
          <cell r="E151">
            <v>0</v>
          </cell>
          <cell r="F151">
            <v>72180.70750002694</v>
          </cell>
          <cell r="G151">
            <v>23238.129962448846</v>
          </cell>
          <cell r="H151">
            <v>48942.577537578094</v>
          </cell>
          <cell r="I151">
            <v>9798014.8876117524</v>
          </cell>
        </row>
        <row r="152">
          <cell r="A152">
            <v>134</v>
          </cell>
          <cell r="C152">
            <v>9798014.8876117524</v>
          </cell>
          <cell r="D152">
            <v>72180.70750002694</v>
          </cell>
          <cell r="E152">
            <v>0</v>
          </cell>
          <cell r="F152">
            <v>72180.70750002694</v>
          </cell>
          <cell r="G152">
            <v>23353.933310095039</v>
          </cell>
          <cell r="H152">
            <v>48826.774189931901</v>
          </cell>
          <cell r="I152">
            <v>9774660.9543016572</v>
          </cell>
        </row>
        <row r="153">
          <cell r="A153">
            <v>135</v>
          </cell>
          <cell r="C153">
            <v>9774660.9543016572</v>
          </cell>
          <cell r="D153">
            <v>72180.70750002694</v>
          </cell>
          <cell r="E153">
            <v>0</v>
          </cell>
          <cell r="F153">
            <v>72180.70750002694</v>
          </cell>
          <cell r="G153">
            <v>23470.313744423678</v>
          </cell>
          <cell r="H153">
            <v>48710.393755603262</v>
          </cell>
          <cell r="I153">
            <v>9751190.6405572332</v>
          </cell>
        </row>
        <row r="154">
          <cell r="A154">
            <v>136</v>
          </cell>
          <cell r="C154">
            <v>9751190.6405572332</v>
          </cell>
          <cell r="D154">
            <v>72180.70750002694</v>
          </cell>
          <cell r="E154">
            <v>0</v>
          </cell>
          <cell r="F154">
            <v>72180.70750002694</v>
          </cell>
          <cell r="G154">
            <v>23587.274141250062</v>
          </cell>
          <cell r="H154">
            <v>48593.433358776878</v>
          </cell>
          <cell r="I154">
            <v>9727603.3664159831</v>
          </cell>
        </row>
        <row r="155">
          <cell r="A155">
            <v>137</v>
          </cell>
          <cell r="C155">
            <v>9727603.3664159831</v>
          </cell>
          <cell r="D155">
            <v>72180.70750002694</v>
          </cell>
          <cell r="E155">
            <v>0</v>
          </cell>
          <cell r="F155">
            <v>72180.70750002694</v>
          </cell>
          <cell r="G155">
            <v>23704.817390720622</v>
          </cell>
          <cell r="H155">
            <v>48475.890109306318</v>
          </cell>
          <cell r="I155">
            <v>9703898.5490252618</v>
          </cell>
        </row>
        <row r="156">
          <cell r="A156">
            <v>138</v>
          </cell>
          <cell r="C156">
            <v>9703898.5490252618</v>
          </cell>
          <cell r="D156">
            <v>72180.70750002694</v>
          </cell>
          <cell r="E156">
            <v>0</v>
          </cell>
          <cell r="F156">
            <v>72180.70750002694</v>
          </cell>
          <cell r="G156">
            <v>23822.946397384389</v>
          </cell>
          <cell r="H156">
            <v>48357.761102642551</v>
          </cell>
          <cell r="I156">
            <v>9680075.6026278771</v>
          </cell>
        </row>
        <row r="157">
          <cell r="A157">
            <v>139</v>
          </cell>
          <cell r="C157">
            <v>9680075.6026278771</v>
          </cell>
          <cell r="D157">
            <v>72180.70750002694</v>
          </cell>
          <cell r="E157">
            <v>0</v>
          </cell>
          <cell r="F157">
            <v>72180.70750002694</v>
          </cell>
          <cell r="G157">
            <v>23941.664080264687</v>
          </cell>
          <cell r="H157">
            <v>48239.043419762253</v>
          </cell>
          <cell r="I157">
            <v>9656133.9385476131</v>
          </cell>
        </row>
        <row r="158">
          <cell r="A158">
            <v>140</v>
          </cell>
          <cell r="C158">
            <v>9656133.9385476131</v>
          </cell>
          <cell r="D158">
            <v>72180.70750002694</v>
          </cell>
          <cell r="E158">
            <v>0</v>
          </cell>
          <cell r="F158">
            <v>72180.70750002694</v>
          </cell>
          <cell r="G158">
            <v>24060.973372931338</v>
          </cell>
          <cell r="H158">
            <v>48119.734127095602</v>
          </cell>
          <cell r="I158">
            <v>9632072.9651746824</v>
          </cell>
        </row>
        <row r="159">
          <cell r="A159">
            <v>141</v>
          </cell>
          <cell r="C159">
            <v>9632072.9651746824</v>
          </cell>
          <cell r="D159">
            <v>72180.70750002694</v>
          </cell>
          <cell r="E159">
            <v>0</v>
          </cell>
          <cell r="F159">
            <v>72180.70750002694</v>
          </cell>
          <cell r="G159">
            <v>24180.877223573108</v>
          </cell>
          <cell r="H159">
            <v>47999.830276453831</v>
          </cell>
          <cell r="I159">
            <v>9607892.0879511088</v>
          </cell>
        </row>
        <row r="160">
          <cell r="A160">
            <v>142</v>
          </cell>
          <cell r="C160">
            <v>9607892.0879511088</v>
          </cell>
          <cell r="D160">
            <v>72180.70750002694</v>
          </cell>
          <cell r="E160">
            <v>0</v>
          </cell>
          <cell r="F160">
            <v>72180.70750002694</v>
          </cell>
          <cell r="G160">
            <v>24301.378595070586</v>
          </cell>
          <cell r="H160">
            <v>47879.328904956354</v>
          </cell>
          <cell r="I160">
            <v>9583590.7093560379</v>
          </cell>
        </row>
        <row r="161">
          <cell r="A161">
            <v>143</v>
          </cell>
          <cell r="C161">
            <v>9583590.7093560379</v>
          </cell>
          <cell r="D161">
            <v>72180.70750002694</v>
          </cell>
          <cell r="E161">
            <v>0</v>
          </cell>
          <cell r="F161">
            <v>72180.70750002694</v>
          </cell>
          <cell r="G161">
            <v>24422.480465069355</v>
          </cell>
          <cell r="H161">
            <v>47758.227034957585</v>
          </cell>
          <cell r="I161">
            <v>9559168.2288909685</v>
          </cell>
        </row>
        <row r="162">
          <cell r="A162">
            <v>144</v>
          </cell>
          <cell r="C162">
            <v>9559168.2288909685</v>
          </cell>
          <cell r="D162">
            <v>72180.70750002694</v>
          </cell>
          <cell r="E162">
            <v>0</v>
          </cell>
          <cell r="F162">
            <v>72180.70750002694</v>
          </cell>
          <cell r="G162">
            <v>24544.18582605361</v>
          </cell>
          <cell r="H162">
            <v>47636.52167397333</v>
          </cell>
          <cell r="I162">
            <v>9534624.0430649146</v>
          </cell>
        </row>
        <row r="163">
          <cell r="A163">
            <v>145</v>
          </cell>
          <cell r="C163">
            <v>9534624.0430649146</v>
          </cell>
          <cell r="D163">
            <v>72180.70750002694</v>
          </cell>
          <cell r="E163">
            <v>0</v>
          </cell>
          <cell r="F163">
            <v>72180.70750002694</v>
          </cell>
          <cell r="G163">
            <v>24666.497685420116</v>
          </cell>
          <cell r="H163">
            <v>47514.209814606824</v>
          </cell>
          <cell r="I163">
            <v>9509957.5453794952</v>
          </cell>
        </row>
        <row r="164">
          <cell r="A164">
            <v>146</v>
          </cell>
          <cell r="C164">
            <v>9509957.5453794952</v>
          </cell>
          <cell r="D164">
            <v>72180.70750002694</v>
          </cell>
          <cell r="E164">
            <v>0</v>
          </cell>
          <cell r="F164">
            <v>72180.70750002694</v>
          </cell>
          <cell r="G164">
            <v>24789.419065552451</v>
          </cell>
          <cell r="H164">
            <v>47391.288434474489</v>
          </cell>
          <cell r="I164">
            <v>9485168.1263139434</v>
          </cell>
        </row>
        <row r="165">
          <cell r="A165">
            <v>147</v>
          </cell>
          <cell r="C165">
            <v>9485168.1263139434</v>
          </cell>
          <cell r="D165">
            <v>72180.70750002694</v>
          </cell>
          <cell r="E165">
            <v>0</v>
          </cell>
          <cell r="F165">
            <v>72180.70750002694</v>
          </cell>
          <cell r="G165">
            <v>24912.953003895789</v>
          </cell>
          <cell r="H165">
            <v>47267.754496131151</v>
          </cell>
          <cell r="I165">
            <v>9460255.173310047</v>
          </cell>
        </row>
        <row r="166">
          <cell r="A166">
            <v>148</v>
          </cell>
          <cell r="C166">
            <v>9460255.173310047</v>
          </cell>
          <cell r="D166">
            <v>72180.70750002694</v>
          </cell>
          <cell r="E166">
            <v>0</v>
          </cell>
          <cell r="F166">
            <v>72180.70750002694</v>
          </cell>
          <cell r="G166">
            <v>25037.102553031873</v>
          </cell>
          <cell r="H166">
            <v>47143.604946995067</v>
          </cell>
          <cell r="I166">
            <v>9435218.0707570147</v>
          </cell>
        </row>
        <row r="167">
          <cell r="A167">
            <v>149</v>
          </cell>
          <cell r="C167">
            <v>9435218.0707570147</v>
          </cell>
          <cell r="D167">
            <v>72180.70750002694</v>
          </cell>
          <cell r="E167">
            <v>0</v>
          </cell>
          <cell r="F167">
            <v>72180.70750002694</v>
          </cell>
          <cell r="G167">
            <v>25161.870780754485</v>
          </cell>
          <cell r="H167">
            <v>47018.836719272455</v>
          </cell>
          <cell r="I167">
            <v>9410056.1999762598</v>
          </cell>
        </row>
        <row r="168">
          <cell r="A168">
            <v>150</v>
          </cell>
          <cell r="C168">
            <v>9410056.1999762598</v>
          </cell>
          <cell r="D168">
            <v>72180.70750002694</v>
          </cell>
          <cell r="E168">
            <v>0</v>
          </cell>
          <cell r="F168">
            <v>72180.70750002694</v>
          </cell>
          <cell r="G168">
            <v>25287.260770145243</v>
          </cell>
          <cell r="H168">
            <v>46893.446729881696</v>
          </cell>
          <cell r="I168">
            <v>9384768.939206114</v>
          </cell>
        </row>
        <row r="169">
          <cell r="A169">
            <v>151</v>
          </cell>
          <cell r="C169">
            <v>9384768.939206114</v>
          </cell>
          <cell r="D169">
            <v>72180.70750002694</v>
          </cell>
          <cell r="E169">
            <v>0</v>
          </cell>
          <cell r="F169">
            <v>72180.70750002694</v>
          </cell>
          <cell r="G169">
            <v>25413.275619649801</v>
          </cell>
          <cell r="H169">
            <v>46767.431880377138</v>
          </cell>
          <cell r="I169">
            <v>9359355.6635864638</v>
          </cell>
        </row>
        <row r="170">
          <cell r="A170">
            <v>152</v>
          </cell>
          <cell r="C170">
            <v>9359355.6635864638</v>
          </cell>
          <cell r="D170">
            <v>72180.70750002694</v>
          </cell>
          <cell r="E170">
            <v>0</v>
          </cell>
          <cell r="F170">
            <v>72180.70750002694</v>
          </cell>
          <cell r="G170">
            <v>25539.918443154398</v>
          </cell>
          <cell r="H170">
            <v>46640.789056872542</v>
          </cell>
          <cell r="I170">
            <v>9333815.7451433092</v>
          </cell>
        </row>
        <row r="171">
          <cell r="A171">
            <v>153</v>
          </cell>
          <cell r="C171">
            <v>9333815.7451433092</v>
          </cell>
          <cell r="D171">
            <v>72180.70750002694</v>
          </cell>
          <cell r="E171">
            <v>0</v>
          </cell>
          <cell r="F171">
            <v>72180.70750002694</v>
          </cell>
          <cell r="G171">
            <v>25667.192370062781</v>
          </cell>
          <cell r="H171">
            <v>46513.515129964158</v>
          </cell>
          <cell r="I171">
            <v>9308148.5527732465</v>
          </cell>
        </row>
        <row r="172">
          <cell r="A172">
            <v>154</v>
          </cell>
          <cell r="C172">
            <v>9308148.5527732465</v>
          </cell>
          <cell r="D172">
            <v>72180.70750002694</v>
          </cell>
          <cell r="E172">
            <v>0</v>
          </cell>
          <cell r="F172">
            <v>72180.70750002694</v>
          </cell>
          <cell r="G172">
            <v>25795.1005453736</v>
          </cell>
          <cell r="H172">
            <v>46385.60695465334</v>
          </cell>
          <cell r="I172">
            <v>9282353.4522278737</v>
          </cell>
        </row>
        <row r="173">
          <cell r="A173">
            <v>155</v>
          </cell>
          <cell r="C173">
            <v>9282353.4522278737</v>
          </cell>
          <cell r="D173">
            <v>72180.70750002694</v>
          </cell>
          <cell r="E173">
            <v>0</v>
          </cell>
          <cell r="F173">
            <v>72180.70750002694</v>
          </cell>
          <cell r="G173">
            <v>25923.646129758039</v>
          </cell>
          <cell r="H173">
            <v>46257.061370268901</v>
          </cell>
          <cell r="I173">
            <v>9256429.8060981166</v>
          </cell>
        </row>
        <row r="174">
          <cell r="A174">
            <v>156</v>
          </cell>
          <cell r="C174">
            <v>9256429.8060981166</v>
          </cell>
          <cell r="D174">
            <v>72180.70750002694</v>
          </cell>
          <cell r="E174">
            <v>0</v>
          </cell>
          <cell r="F174">
            <v>72180.70750002694</v>
          </cell>
          <cell r="G174">
            <v>26052.832299637994</v>
          </cell>
          <cell r="H174">
            <v>46127.875200388946</v>
          </cell>
          <cell r="I174">
            <v>9230376.973798478</v>
          </cell>
        </row>
        <row r="175">
          <cell r="A175">
            <v>157</v>
          </cell>
          <cell r="C175">
            <v>9230376.973798478</v>
          </cell>
          <cell r="D175">
            <v>72180.70750002694</v>
          </cell>
          <cell r="E175">
            <v>0</v>
          </cell>
          <cell r="F175">
            <v>72180.70750002694</v>
          </cell>
          <cell r="G175">
            <v>26182.662247264525</v>
          </cell>
          <cell r="H175">
            <v>45998.045252762415</v>
          </cell>
          <cell r="I175">
            <v>9204194.3115512133</v>
          </cell>
        </row>
        <row r="176">
          <cell r="A176">
            <v>158</v>
          </cell>
          <cell r="C176">
            <v>9204194.3115512133</v>
          </cell>
          <cell r="D176">
            <v>72180.70750002694</v>
          </cell>
          <cell r="E176">
            <v>0</v>
          </cell>
          <cell r="F176">
            <v>72180.70750002694</v>
          </cell>
          <cell r="G176">
            <v>26313.139180796723</v>
          </cell>
          <cell r="H176">
            <v>45867.568319230217</v>
          </cell>
          <cell r="I176">
            <v>9177881.172370417</v>
          </cell>
        </row>
        <row r="177">
          <cell r="A177">
            <v>159</v>
          </cell>
          <cell r="C177">
            <v>9177881.172370417</v>
          </cell>
          <cell r="D177">
            <v>72180.70750002694</v>
          </cell>
          <cell r="E177">
            <v>0</v>
          </cell>
          <cell r="F177">
            <v>72180.70750002694</v>
          </cell>
          <cell r="G177">
            <v>26444.266324381031</v>
          </cell>
          <cell r="H177">
            <v>45736.441175645909</v>
          </cell>
          <cell r="I177">
            <v>9151436.9060460366</v>
          </cell>
        </row>
        <row r="178">
          <cell r="A178">
            <v>160</v>
          </cell>
          <cell r="C178">
            <v>9151436.9060460366</v>
          </cell>
          <cell r="D178">
            <v>72180.70750002694</v>
          </cell>
          <cell r="E178">
            <v>0</v>
          </cell>
          <cell r="F178">
            <v>72180.70750002694</v>
          </cell>
          <cell r="G178">
            <v>26576.046918230859</v>
          </cell>
          <cell r="H178">
            <v>45604.660581796081</v>
          </cell>
          <cell r="I178">
            <v>9124860.8591278065</v>
          </cell>
        </row>
        <row r="179">
          <cell r="A179">
            <v>161</v>
          </cell>
          <cell r="C179">
            <v>9124860.8591278065</v>
          </cell>
          <cell r="D179">
            <v>72180.70750002694</v>
          </cell>
          <cell r="E179">
            <v>0</v>
          </cell>
          <cell r="F179">
            <v>72180.70750002694</v>
          </cell>
          <cell r="G179">
            <v>26708.484218706704</v>
          </cell>
          <cell r="H179">
            <v>45472.223281320235</v>
          </cell>
          <cell r="I179">
            <v>9098152.3749090992</v>
          </cell>
        </row>
        <row r="180">
          <cell r="A180">
            <v>162</v>
          </cell>
          <cell r="C180">
            <v>9098152.3749090992</v>
          </cell>
          <cell r="D180">
            <v>72180.70750002694</v>
          </cell>
          <cell r="E180">
            <v>0</v>
          </cell>
          <cell r="F180">
            <v>72180.70750002694</v>
          </cell>
          <cell r="G180">
            <v>26841.58149839659</v>
          </cell>
          <cell r="H180">
            <v>45339.126001630349</v>
          </cell>
          <cell r="I180">
            <v>9071310.7934107017</v>
          </cell>
        </row>
        <row r="181">
          <cell r="A181">
            <v>163</v>
          </cell>
          <cell r="C181">
            <v>9071310.7934107017</v>
          </cell>
          <cell r="D181">
            <v>72180.70750002694</v>
          </cell>
          <cell r="E181">
            <v>0</v>
          </cell>
          <cell r="F181">
            <v>72180.70750002694</v>
          </cell>
          <cell r="G181">
            <v>26975.342046196944</v>
          </cell>
          <cell r="H181">
            <v>45205.365453829996</v>
          </cell>
          <cell r="I181">
            <v>9044335.4513645042</v>
          </cell>
        </row>
        <row r="182">
          <cell r="A182">
            <v>164</v>
          </cell>
          <cell r="C182">
            <v>9044335.4513645042</v>
          </cell>
          <cell r="D182">
            <v>72180.70750002694</v>
          </cell>
          <cell r="E182">
            <v>0</v>
          </cell>
          <cell r="F182">
            <v>72180.70750002694</v>
          </cell>
          <cell r="G182">
            <v>27109.769167393824</v>
          </cell>
          <cell r="H182">
            <v>45070.938332633115</v>
          </cell>
          <cell r="I182">
            <v>9017225.6821971107</v>
          </cell>
        </row>
        <row r="183">
          <cell r="A183">
            <v>165</v>
          </cell>
          <cell r="C183">
            <v>9017225.6821971107</v>
          </cell>
          <cell r="D183">
            <v>72180.70750002694</v>
          </cell>
          <cell r="E183">
            <v>0</v>
          </cell>
          <cell r="F183">
            <v>72180.70750002694</v>
          </cell>
          <cell r="G183">
            <v>27244.866183744678</v>
          </cell>
          <cell r="H183">
            <v>44935.841316282262</v>
          </cell>
          <cell r="I183">
            <v>8989980.816013366</v>
          </cell>
        </row>
        <row r="184">
          <cell r="A184">
            <v>166</v>
          </cell>
          <cell r="C184">
            <v>8989980.816013366</v>
          </cell>
          <cell r="D184">
            <v>72180.70750002694</v>
          </cell>
          <cell r="E184">
            <v>0</v>
          </cell>
          <cell r="F184">
            <v>72180.70750002694</v>
          </cell>
          <cell r="G184">
            <v>27380.636433560336</v>
          </cell>
          <cell r="H184">
            <v>44800.071066466604</v>
          </cell>
          <cell r="I184">
            <v>8962600.1795798056</v>
          </cell>
        </row>
        <row r="185">
          <cell r="A185">
            <v>167</v>
          </cell>
          <cell r="C185">
            <v>8962600.1795798056</v>
          </cell>
          <cell r="D185">
            <v>72180.70750002694</v>
          </cell>
          <cell r="E185">
            <v>0</v>
          </cell>
          <cell r="F185">
            <v>72180.70750002694</v>
          </cell>
          <cell r="G185">
            <v>27517.083271787582</v>
          </cell>
          <cell r="H185">
            <v>44663.624228239358</v>
          </cell>
          <cell r="I185">
            <v>8935083.0963080171</v>
          </cell>
        </row>
        <row r="186">
          <cell r="A186">
            <v>168</v>
          </cell>
          <cell r="C186">
            <v>8935083.0963080171</v>
          </cell>
          <cell r="D186">
            <v>72180.70750002694</v>
          </cell>
          <cell r="E186">
            <v>0</v>
          </cell>
          <cell r="F186">
            <v>72180.70750002694</v>
          </cell>
          <cell r="G186">
            <v>27654.210070091991</v>
          </cell>
          <cell r="H186">
            <v>44526.497429934949</v>
          </cell>
          <cell r="I186">
            <v>8907428.8862379249</v>
          </cell>
        </row>
        <row r="187">
          <cell r="A187">
            <v>169</v>
          </cell>
          <cell r="C187">
            <v>8907428.8862379249</v>
          </cell>
          <cell r="D187">
            <v>72180.70750002694</v>
          </cell>
          <cell r="E187">
            <v>0</v>
          </cell>
          <cell r="F187">
            <v>72180.70750002694</v>
          </cell>
          <cell r="G187">
            <v>27792.020216941281</v>
          </cell>
          <cell r="H187">
            <v>44388.687283085659</v>
          </cell>
          <cell r="I187">
            <v>8879636.8660209831</v>
          </cell>
        </row>
        <row r="188">
          <cell r="A188">
            <v>170</v>
          </cell>
          <cell r="C188">
            <v>8879636.8660209831</v>
          </cell>
          <cell r="D188">
            <v>72180.70750002694</v>
          </cell>
          <cell r="E188">
            <v>0</v>
          </cell>
          <cell r="F188">
            <v>72180.70750002694</v>
          </cell>
          <cell r="G188">
            <v>27930.517117689044</v>
          </cell>
          <cell r="H188">
            <v>44250.190382337896</v>
          </cell>
          <cell r="I188">
            <v>8851706.3489032947</v>
          </cell>
        </row>
        <row r="189">
          <cell r="A189">
            <v>171</v>
          </cell>
          <cell r="C189">
            <v>8851706.3489032947</v>
          </cell>
          <cell r="D189">
            <v>72180.70750002694</v>
          </cell>
          <cell r="E189">
            <v>0</v>
          </cell>
          <cell r="F189">
            <v>72180.70750002694</v>
          </cell>
          <cell r="G189">
            <v>28069.704194658851</v>
          </cell>
          <cell r="H189">
            <v>44111.003305368089</v>
          </cell>
          <cell r="I189">
            <v>8823636.6447086353</v>
          </cell>
        </row>
        <row r="190">
          <cell r="A190">
            <v>172</v>
          </cell>
          <cell r="C190">
            <v>8823636.6447086353</v>
          </cell>
          <cell r="D190">
            <v>72180.70750002694</v>
          </cell>
          <cell r="E190">
            <v>0</v>
          </cell>
          <cell r="F190">
            <v>72180.70750002694</v>
          </cell>
          <cell r="G190">
            <v>28209.584887228906</v>
          </cell>
          <cell r="H190">
            <v>43971.122612798034</v>
          </cell>
          <cell r="I190">
            <v>8795427.0598214064</v>
          </cell>
        </row>
        <row r="191">
          <cell r="A191">
            <v>173</v>
          </cell>
          <cell r="C191">
            <v>8795427.0598214064</v>
          </cell>
          <cell r="D191">
            <v>72180.70750002694</v>
          </cell>
          <cell r="E191">
            <v>0</v>
          </cell>
          <cell r="F191">
            <v>72180.70750002694</v>
          </cell>
          <cell r="G191">
            <v>28350.162651916937</v>
          </cell>
          <cell r="H191">
            <v>43830.544848110003</v>
          </cell>
          <cell r="I191">
            <v>8767076.8971694894</v>
          </cell>
        </row>
        <row r="192">
          <cell r="A192">
            <v>174</v>
          </cell>
          <cell r="C192">
            <v>8767076.8971694894</v>
          </cell>
          <cell r="D192">
            <v>72180.70750002694</v>
          </cell>
          <cell r="E192">
            <v>0</v>
          </cell>
          <cell r="F192">
            <v>72180.70750002694</v>
          </cell>
          <cell r="G192">
            <v>28491.440962465647</v>
          </cell>
          <cell r="H192">
            <v>43689.266537561292</v>
          </cell>
          <cell r="I192">
            <v>8738585.4562070239</v>
          </cell>
        </row>
        <row r="193">
          <cell r="A193">
            <v>175</v>
          </cell>
          <cell r="C193">
            <v>8738585.4562070239</v>
          </cell>
          <cell r="D193">
            <v>72180.70750002694</v>
          </cell>
          <cell r="E193">
            <v>0</v>
          </cell>
          <cell r="F193">
            <v>72180.70750002694</v>
          </cell>
          <cell r="G193">
            <v>28633.423309928607</v>
          </cell>
          <cell r="H193">
            <v>43547.284190098333</v>
          </cell>
          <cell r="I193">
            <v>8709952.0328970961</v>
          </cell>
        </row>
        <row r="194">
          <cell r="A194">
            <v>176</v>
          </cell>
          <cell r="C194">
            <v>8709952.0328970961</v>
          </cell>
          <cell r="D194">
            <v>72180.70750002694</v>
          </cell>
          <cell r="E194">
            <v>0</v>
          </cell>
          <cell r="F194">
            <v>72180.70750002694</v>
          </cell>
          <cell r="G194">
            <v>28776.113202756409</v>
          </cell>
          <cell r="H194">
            <v>43404.594297270531</v>
          </cell>
          <cell r="I194">
            <v>8681175.9196943399</v>
          </cell>
        </row>
        <row r="195">
          <cell r="A195">
            <v>177</v>
          </cell>
          <cell r="C195">
            <v>8681175.9196943399</v>
          </cell>
          <cell r="D195">
            <v>72180.70750002694</v>
          </cell>
          <cell r="E195">
            <v>0</v>
          </cell>
          <cell r="F195">
            <v>72180.70750002694</v>
          </cell>
          <cell r="G195">
            <v>28919.514166883477</v>
          </cell>
          <cell r="H195">
            <v>43261.193333143463</v>
          </cell>
          <cell r="I195">
            <v>8652256.4055274557</v>
          </cell>
        </row>
        <row r="196">
          <cell r="A196">
            <v>178</v>
          </cell>
          <cell r="C196">
            <v>8652256.4055274557</v>
          </cell>
          <cell r="D196">
            <v>72180.70750002694</v>
          </cell>
          <cell r="E196">
            <v>0</v>
          </cell>
          <cell r="F196">
            <v>72180.70750002694</v>
          </cell>
          <cell r="G196">
            <v>29063.629745815117</v>
          </cell>
          <cell r="H196">
            <v>43117.077754211823</v>
          </cell>
          <cell r="I196">
            <v>8623192.7757816408</v>
          </cell>
        </row>
        <row r="197">
          <cell r="A197">
            <v>179</v>
          </cell>
          <cell r="C197">
            <v>8623192.7757816408</v>
          </cell>
          <cell r="D197">
            <v>72180.70750002694</v>
          </cell>
          <cell r="E197">
            <v>0</v>
          </cell>
          <cell r="F197">
            <v>72180.70750002694</v>
          </cell>
          <cell r="G197">
            <v>29208.463500715101</v>
          </cell>
          <cell r="H197">
            <v>42972.243999311839</v>
          </cell>
          <cell r="I197">
            <v>8593984.312280925</v>
          </cell>
        </row>
        <row r="198">
          <cell r="A198">
            <v>180</v>
          </cell>
          <cell r="C198">
            <v>8593984.312280925</v>
          </cell>
          <cell r="D198">
            <v>72180.70750002694</v>
          </cell>
          <cell r="E198">
            <v>0</v>
          </cell>
          <cell r="F198">
            <v>72180.70750002694</v>
          </cell>
          <cell r="G198">
            <v>29354.019010493663</v>
          </cell>
          <cell r="H198">
            <v>42826.688489533277</v>
          </cell>
          <cell r="I198">
            <v>8564630.2932704315</v>
          </cell>
        </row>
        <row r="199">
          <cell r="A199">
            <v>181</v>
          </cell>
          <cell r="C199">
            <v>8564630.2932704315</v>
          </cell>
          <cell r="D199">
            <v>72180.70750002694</v>
          </cell>
          <cell r="E199">
            <v>0</v>
          </cell>
          <cell r="F199">
            <v>72180.70750002694</v>
          </cell>
          <cell r="G199">
            <v>29500.299871895957</v>
          </cell>
          <cell r="H199">
            <v>42680.407628130983</v>
          </cell>
          <cell r="I199">
            <v>8535129.993398536</v>
          </cell>
        </row>
        <row r="200">
          <cell r="A200">
            <v>182</v>
          </cell>
          <cell r="C200">
            <v>8535129.993398536</v>
          </cell>
          <cell r="D200">
            <v>72180.70750002694</v>
          </cell>
          <cell r="E200">
            <v>0</v>
          </cell>
          <cell r="F200">
            <v>72180.70750002694</v>
          </cell>
          <cell r="G200">
            <v>29647.309699590907</v>
          </cell>
          <cell r="H200">
            <v>42533.397800436032</v>
          </cell>
          <cell r="I200">
            <v>8505482.6836989447</v>
          </cell>
        </row>
        <row r="201">
          <cell r="A201">
            <v>183</v>
          </cell>
          <cell r="C201">
            <v>8505482.6836989447</v>
          </cell>
          <cell r="D201">
            <v>72180.70750002694</v>
          </cell>
          <cell r="E201">
            <v>0</v>
          </cell>
          <cell r="F201">
            <v>72180.70750002694</v>
          </cell>
          <cell r="G201">
            <v>29795.052126260533</v>
          </cell>
          <cell r="H201">
            <v>42385.655373766407</v>
          </cell>
          <cell r="I201">
            <v>8475687.6315726843</v>
          </cell>
        </row>
        <row r="202">
          <cell r="A202">
            <v>184</v>
          </cell>
          <cell r="C202">
            <v>8475687.6315726843</v>
          </cell>
          <cell r="D202">
            <v>72180.70750002694</v>
          </cell>
          <cell r="E202">
            <v>0</v>
          </cell>
          <cell r="F202">
            <v>72180.70750002694</v>
          </cell>
          <cell r="G202">
            <v>29943.530802689733</v>
          </cell>
          <cell r="H202">
            <v>42237.176697337207</v>
          </cell>
          <cell r="I202">
            <v>8445744.1007699948</v>
          </cell>
        </row>
        <row r="203">
          <cell r="A203">
            <v>185</v>
          </cell>
          <cell r="C203">
            <v>8445744.1007699948</v>
          </cell>
          <cell r="D203">
            <v>72180.70750002694</v>
          </cell>
          <cell r="E203">
            <v>0</v>
          </cell>
          <cell r="F203">
            <v>72180.70750002694</v>
          </cell>
          <cell r="G203">
            <v>30092.749397856467</v>
          </cell>
          <cell r="H203">
            <v>42087.958102170473</v>
          </cell>
          <cell r="I203">
            <v>8415651.3513721377</v>
          </cell>
        </row>
        <row r="204">
          <cell r="A204">
            <v>186</v>
          </cell>
          <cell r="C204">
            <v>8415651.3513721377</v>
          </cell>
          <cell r="D204">
            <v>72180.70750002694</v>
          </cell>
          <cell r="E204">
            <v>0</v>
          </cell>
          <cell r="F204">
            <v>72180.70750002694</v>
          </cell>
          <cell r="G204">
            <v>30242.711599022456</v>
          </cell>
          <cell r="H204">
            <v>41937.995901004484</v>
          </cell>
          <cell r="I204">
            <v>8385408.6397731155</v>
          </cell>
        </row>
        <row r="205">
          <cell r="A205">
            <v>187</v>
          </cell>
          <cell r="C205">
            <v>8385408.6397731155</v>
          </cell>
          <cell r="D205">
            <v>72180.70750002694</v>
          </cell>
          <cell r="E205">
            <v>0</v>
          </cell>
          <cell r="F205">
            <v>72180.70750002694</v>
          </cell>
          <cell r="G205">
            <v>30393.421111824246</v>
          </cell>
          <cell r="H205">
            <v>41787.286388202694</v>
          </cell>
          <cell r="I205">
            <v>8355015.2186612915</v>
          </cell>
        </row>
        <row r="206">
          <cell r="A206">
            <v>188</v>
          </cell>
          <cell r="C206">
            <v>8355015.2186612915</v>
          </cell>
          <cell r="D206">
            <v>72180.70750002694</v>
          </cell>
          <cell r="E206">
            <v>0</v>
          </cell>
          <cell r="F206">
            <v>72180.70750002694</v>
          </cell>
          <cell r="G206">
            <v>30544.881660364837</v>
          </cell>
          <cell r="H206">
            <v>41635.825839662102</v>
          </cell>
          <cell r="I206">
            <v>8324470.337000927</v>
          </cell>
        </row>
        <row r="207">
          <cell r="A207">
            <v>189</v>
          </cell>
          <cell r="C207">
            <v>8324470.337000927</v>
          </cell>
          <cell r="D207">
            <v>72180.70750002694</v>
          </cell>
          <cell r="E207">
            <v>0</v>
          </cell>
          <cell r="F207">
            <v>72180.70750002694</v>
          </cell>
          <cell r="G207">
            <v>30697.096987305653</v>
          </cell>
          <cell r="H207">
            <v>41483.610512721287</v>
          </cell>
          <cell r="I207">
            <v>8293773.2400136217</v>
          </cell>
        </row>
        <row r="208">
          <cell r="A208">
            <v>190</v>
          </cell>
          <cell r="C208">
            <v>8293773.2400136217</v>
          </cell>
          <cell r="D208">
            <v>72180.70750002694</v>
          </cell>
          <cell r="E208">
            <v>0</v>
          </cell>
          <cell r="F208">
            <v>72180.70750002694</v>
          </cell>
          <cell r="G208">
            <v>30850.070853959063</v>
          </cell>
          <cell r="H208">
            <v>41330.636646067876</v>
          </cell>
          <cell r="I208">
            <v>8262923.1691596629</v>
          </cell>
        </row>
        <row r="209">
          <cell r="A209">
            <v>191</v>
          </cell>
          <cell r="C209">
            <v>8262923.1691596629</v>
          </cell>
          <cell r="D209">
            <v>72180.70750002694</v>
          </cell>
          <cell r="E209">
            <v>0</v>
          </cell>
          <cell r="F209">
            <v>72180.70750002694</v>
          </cell>
          <cell r="G209">
            <v>31003.807040381289</v>
          </cell>
          <cell r="H209">
            <v>41176.900459645651</v>
          </cell>
          <cell r="I209">
            <v>8231919.3621192817</v>
          </cell>
        </row>
        <row r="210">
          <cell r="A210">
            <v>192</v>
          </cell>
          <cell r="C210">
            <v>8231919.3621192817</v>
          </cell>
          <cell r="D210">
            <v>72180.70750002694</v>
          </cell>
          <cell r="E210">
            <v>0</v>
          </cell>
          <cell r="F210">
            <v>72180.70750002694</v>
          </cell>
          <cell r="G210">
            <v>31158.309345465852</v>
          </cell>
          <cell r="H210">
            <v>41022.398154561088</v>
          </cell>
          <cell r="I210">
            <v>8200761.0527738156</v>
          </cell>
        </row>
        <row r="211">
          <cell r="A211">
            <v>193</v>
          </cell>
          <cell r="C211">
            <v>8200761.0527738156</v>
          </cell>
          <cell r="D211">
            <v>72180.70750002694</v>
          </cell>
          <cell r="E211">
            <v>0</v>
          </cell>
          <cell r="F211">
            <v>72180.70750002694</v>
          </cell>
          <cell r="G211">
            <v>31313.581587037428</v>
          </cell>
          <cell r="H211">
            <v>40867.125912989512</v>
          </cell>
          <cell r="I211">
            <v>8169447.4711867785</v>
          </cell>
        </row>
        <row r="212">
          <cell r="A212">
            <v>194</v>
          </cell>
          <cell r="C212">
            <v>8169447.4711867785</v>
          </cell>
          <cell r="D212">
            <v>72180.70750002694</v>
          </cell>
          <cell r="E212">
            <v>0</v>
          </cell>
          <cell r="F212">
            <v>72180.70750002694</v>
          </cell>
          <cell r="G212">
            <v>31469.627601946158</v>
          </cell>
          <cell r="H212">
            <v>40711.079898080781</v>
          </cell>
          <cell r="I212">
            <v>8137977.8435848327</v>
          </cell>
        </row>
        <row r="213">
          <cell r="A213">
            <v>195</v>
          </cell>
          <cell r="C213">
            <v>8137977.8435848327</v>
          </cell>
          <cell r="D213">
            <v>72180.70750002694</v>
          </cell>
          <cell r="E213">
            <v>0</v>
          </cell>
          <cell r="F213">
            <v>72180.70750002694</v>
          </cell>
          <cell r="G213">
            <v>31626.45124616252</v>
          </cell>
          <cell r="H213">
            <v>40554.25625386442</v>
          </cell>
          <cell r="I213">
            <v>8106351.3923386699</v>
          </cell>
        </row>
        <row r="214">
          <cell r="A214">
            <v>196</v>
          </cell>
          <cell r="C214">
            <v>8106351.3923386699</v>
          </cell>
          <cell r="D214">
            <v>72180.70750002694</v>
          </cell>
          <cell r="E214">
            <v>0</v>
          </cell>
          <cell r="F214">
            <v>72180.70750002694</v>
          </cell>
          <cell r="G214">
            <v>31784.056394872568</v>
          </cell>
          <cell r="H214">
            <v>40396.651105154371</v>
          </cell>
          <cell r="I214">
            <v>8074567.3359437976</v>
          </cell>
        </row>
        <row r="215">
          <cell r="A215">
            <v>197</v>
          </cell>
          <cell r="C215">
            <v>8074567.3359437976</v>
          </cell>
          <cell r="D215">
            <v>72180.70750002694</v>
          </cell>
          <cell r="E215">
            <v>0</v>
          </cell>
          <cell r="F215">
            <v>72180.70750002694</v>
          </cell>
          <cell r="G215">
            <v>31942.446942573682</v>
          </cell>
          <cell r="H215">
            <v>40238.260557453257</v>
          </cell>
          <cell r="I215">
            <v>8042624.8890012242</v>
          </cell>
        </row>
        <row r="216">
          <cell r="A216">
            <v>198</v>
          </cell>
          <cell r="C216">
            <v>8042624.8890012242</v>
          </cell>
          <cell r="D216">
            <v>72180.70750002694</v>
          </cell>
          <cell r="E216">
            <v>0</v>
          </cell>
          <cell r="F216">
            <v>72180.70750002694</v>
          </cell>
          <cell r="G216">
            <v>32101.626803170839</v>
          </cell>
          <cell r="H216">
            <v>40079.080696856101</v>
          </cell>
          <cell r="I216">
            <v>8010523.2621980533</v>
          </cell>
        </row>
        <row r="217">
          <cell r="A217">
            <v>199</v>
          </cell>
          <cell r="C217">
            <v>8010523.2621980533</v>
          </cell>
          <cell r="D217">
            <v>72180.70750002694</v>
          </cell>
          <cell r="E217">
            <v>0</v>
          </cell>
          <cell r="F217">
            <v>72180.70750002694</v>
          </cell>
          <cell r="G217">
            <v>32261.59991007331</v>
          </cell>
          <cell r="H217">
            <v>39919.10758995363</v>
          </cell>
          <cell r="I217">
            <v>7978261.6622879803</v>
          </cell>
        </row>
        <row r="218">
          <cell r="A218">
            <v>200</v>
          </cell>
          <cell r="C218">
            <v>7978261.6622879803</v>
          </cell>
          <cell r="D218">
            <v>72180.70750002694</v>
          </cell>
          <cell r="E218">
            <v>0</v>
          </cell>
          <cell r="F218">
            <v>72180.70750002694</v>
          </cell>
          <cell r="G218">
            <v>32422.370216291842</v>
          </cell>
          <cell r="H218">
            <v>39758.337283735098</v>
          </cell>
          <cell r="I218">
            <v>7945839.2920716889</v>
          </cell>
        </row>
        <row r="219">
          <cell r="A219">
            <v>201</v>
          </cell>
          <cell r="C219">
            <v>7945839.2920716889</v>
          </cell>
          <cell r="D219">
            <v>72180.70750002694</v>
          </cell>
          <cell r="E219">
            <v>0</v>
          </cell>
          <cell r="F219">
            <v>72180.70750002694</v>
          </cell>
          <cell r="G219">
            <v>32583.941694536355</v>
          </cell>
          <cell r="H219">
            <v>39596.765805490584</v>
          </cell>
          <cell r="I219">
            <v>7913255.3503771527</v>
          </cell>
        </row>
        <row r="220">
          <cell r="A220">
            <v>202</v>
          </cell>
          <cell r="C220">
            <v>7913255.3503771527</v>
          </cell>
          <cell r="D220">
            <v>72180.70750002694</v>
          </cell>
          <cell r="E220">
            <v>0</v>
          </cell>
          <cell r="F220">
            <v>72180.70750002694</v>
          </cell>
          <cell r="G220">
            <v>32746.318337314129</v>
          </cell>
          <cell r="H220">
            <v>39434.389162712811</v>
          </cell>
          <cell r="I220">
            <v>7880509.0320398388</v>
          </cell>
        </row>
        <row r="221">
          <cell r="A221">
            <v>203</v>
          </cell>
          <cell r="C221">
            <v>7880509.0320398388</v>
          </cell>
          <cell r="D221">
            <v>72180.70750002694</v>
          </cell>
          <cell r="E221">
            <v>0</v>
          </cell>
          <cell r="F221">
            <v>72180.70750002694</v>
          </cell>
          <cell r="G221">
            <v>32909.504157028408</v>
          </cell>
          <cell r="H221">
            <v>39271.203342998531</v>
          </cell>
          <cell r="I221">
            <v>7847599.5278828107</v>
          </cell>
        </row>
        <row r="222">
          <cell r="A222">
            <v>204</v>
          </cell>
          <cell r="C222">
            <v>7847599.5278828107</v>
          </cell>
          <cell r="D222">
            <v>72180.70750002694</v>
          </cell>
          <cell r="E222">
            <v>0</v>
          </cell>
          <cell r="F222">
            <v>72180.70750002694</v>
          </cell>
          <cell r="G222">
            <v>33073.5031860776</v>
          </cell>
          <cell r="H222">
            <v>39107.20431394934</v>
          </cell>
          <cell r="I222">
            <v>7814526.0246967329</v>
          </cell>
        </row>
        <row r="223">
          <cell r="A223">
            <v>205</v>
          </cell>
          <cell r="C223">
            <v>7814526.0246967329</v>
          </cell>
          <cell r="D223">
            <v>72180.70750002694</v>
          </cell>
          <cell r="E223">
            <v>0</v>
          </cell>
          <cell r="F223">
            <v>72180.70750002694</v>
          </cell>
          <cell r="G223">
            <v>33238.319476954886</v>
          </cell>
          <cell r="H223">
            <v>38942.388023072053</v>
          </cell>
          <cell r="I223">
            <v>7781287.7052197782</v>
          </cell>
        </row>
        <row r="224">
          <cell r="A224">
            <v>206</v>
          </cell>
          <cell r="C224">
            <v>7781287.7052197782</v>
          </cell>
          <cell r="D224">
            <v>72180.70750002694</v>
          </cell>
          <cell r="E224">
            <v>0</v>
          </cell>
          <cell r="F224">
            <v>72180.70750002694</v>
          </cell>
          <cell r="G224">
            <v>33403.95710234838</v>
          </cell>
          <cell r="H224">
            <v>38776.750397678559</v>
          </cell>
          <cell r="I224">
            <v>7747883.7481174301</v>
          </cell>
        </row>
        <row r="225">
          <cell r="A225">
            <v>207</v>
          </cell>
          <cell r="C225">
            <v>7747883.7481174301</v>
          </cell>
          <cell r="D225">
            <v>72180.70750002694</v>
          </cell>
          <cell r="E225">
            <v>0</v>
          </cell>
          <cell r="F225">
            <v>72180.70750002694</v>
          </cell>
          <cell r="G225">
            <v>33570.420155241743</v>
          </cell>
          <cell r="H225">
            <v>38610.287344785196</v>
          </cell>
          <cell r="I225">
            <v>7714313.3279621881</v>
          </cell>
        </row>
        <row r="226">
          <cell r="A226">
            <v>208</v>
          </cell>
          <cell r="C226">
            <v>7714313.3279621881</v>
          </cell>
          <cell r="D226">
            <v>72180.70750002694</v>
          </cell>
          <cell r="E226">
            <v>0</v>
          </cell>
          <cell r="F226">
            <v>72180.70750002694</v>
          </cell>
          <cell r="G226">
            <v>33737.712749015373</v>
          </cell>
          <cell r="H226">
            <v>38442.994751011567</v>
          </cell>
          <cell r="I226">
            <v>7680575.6152131725</v>
          </cell>
        </row>
        <row r="227">
          <cell r="A227">
            <v>209</v>
          </cell>
          <cell r="C227">
            <v>7680575.6152131725</v>
          </cell>
          <cell r="D227">
            <v>72180.70750002694</v>
          </cell>
          <cell r="E227">
            <v>0</v>
          </cell>
          <cell r="F227">
            <v>72180.70750002694</v>
          </cell>
          <cell r="G227">
            <v>33905.839017547965</v>
          </cell>
          <cell r="H227">
            <v>38274.868482478974</v>
          </cell>
          <cell r="I227">
            <v>7646669.7761956248</v>
          </cell>
        </row>
        <row r="228">
          <cell r="A228">
            <v>210</v>
          </cell>
          <cell r="C228">
            <v>7646669.7761956248</v>
          </cell>
          <cell r="D228">
            <v>72180.70750002694</v>
          </cell>
          <cell r="E228">
            <v>0</v>
          </cell>
          <cell r="F228">
            <v>72180.70750002694</v>
          </cell>
          <cell r="G228">
            <v>34074.80311531874</v>
          </cell>
          <cell r="H228">
            <v>38105.904384708199</v>
          </cell>
          <cell r="I228">
            <v>7612594.9730803063</v>
          </cell>
        </row>
        <row r="229">
          <cell r="A229">
            <v>211</v>
          </cell>
          <cell r="C229">
            <v>7612594.9730803063</v>
          </cell>
          <cell r="D229">
            <v>72180.70750002694</v>
          </cell>
          <cell r="E229">
            <v>0</v>
          </cell>
          <cell r="F229">
            <v>72180.70750002694</v>
          </cell>
          <cell r="G229">
            <v>34244.609217510078</v>
          </cell>
          <cell r="H229">
            <v>37936.098282516861</v>
          </cell>
          <cell r="I229">
            <v>7578350.3638627967</v>
          </cell>
        </row>
        <row r="230">
          <cell r="A230">
            <v>212</v>
          </cell>
          <cell r="C230">
            <v>7578350.3638627967</v>
          </cell>
          <cell r="D230">
            <v>72180.70750002694</v>
          </cell>
          <cell r="E230">
            <v>0</v>
          </cell>
          <cell r="F230">
            <v>72180.70750002694</v>
          </cell>
          <cell r="G230">
            <v>34415.261520110675</v>
          </cell>
          <cell r="H230">
            <v>37765.445979916265</v>
          </cell>
          <cell r="I230">
            <v>7543935.1023426857</v>
          </cell>
        </row>
        <row r="231">
          <cell r="A231">
            <v>213</v>
          </cell>
          <cell r="C231">
            <v>7543935.1023426857</v>
          </cell>
          <cell r="D231">
            <v>72180.70750002694</v>
          </cell>
          <cell r="E231">
            <v>0</v>
          </cell>
          <cell r="F231">
            <v>72180.70750002694</v>
          </cell>
          <cell r="G231">
            <v>34586.76424001922</v>
          </cell>
          <cell r="H231">
            <v>37593.94326000772</v>
          </cell>
          <cell r="I231">
            <v>7509348.3381026667</v>
          </cell>
        </row>
        <row r="232">
          <cell r="A232">
            <v>214</v>
          </cell>
          <cell r="C232">
            <v>7509348.3381026667</v>
          </cell>
          <cell r="D232">
            <v>72180.70750002694</v>
          </cell>
          <cell r="E232">
            <v>0</v>
          </cell>
          <cell r="F232">
            <v>72180.70750002694</v>
          </cell>
          <cell r="G232">
            <v>34759.121615148651</v>
          </cell>
          <cell r="H232">
            <v>37421.585884878288</v>
          </cell>
          <cell r="I232">
            <v>7474589.2164875176</v>
          </cell>
        </row>
        <row r="233">
          <cell r="A233">
            <v>215</v>
          </cell>
          <cell r="C233">
            <v>7474589.2164875176</v>
          </cell>
          <cell r="D233">
            <v>72180.70750002694</v>
          </cell>
          <cell r="E233">
            <v>0</v>
          </cell>
          <cell r="F233">
            <v>72180.70750002694</v>
          </cell>
          <cell r="G233">
            <v>34932.33790453081</v>
          </cell>
          <cell r="H233">
            <v>37248.369595496129</v>
          </cell>
          <cell r="I233">
            <v>7439656.878582987</v>
          </cell>
        </row>
        <row r="234">
          <cell r="A234">
            <v>216</v>
          </cell>
          <cell r="C234">
            <v>7439656.878582987</v>
          </cell>
          <cell r="D234">
            <v>72180.70750002694</v>
          </cell>
          <cell r="E234">
            <v>0</v>
          </cell>
          <cell r="F234">
            <v>72180.70750002694</v>
          </cell>
          <cell r="G234">
            <v>35106.417388421723</v>
          </cell>
          <cell r="H234">
            <v>37074.290111605216</v>
          </cell>
          <cell r="I234">
            <v>7404550.4611945655</v>
          </cell>
        </row>
        <row r="235">
          <cell r="A235">
            <v>217</v>
          </cell>
          <cell r="C235">
            <v>7404550.4611945655</v>
          </cell>
          <cell r="D235">
            <v>72180.70750002694</v>
          </cell>
          <cell r="E235">
            <v>0</v>
          </cell>
          <cell r="F235">
            <v>72180.70750002694</v>
          </cell>
          <cell r="G235">
            <v>35281.364368407354</v>
          </cell>
          <cell r="H235">
            <v>36899.343131619586</v>
          </cell>
          <cell r="I235">
            <v>7369269.0968261585</v>
          </cell>
        </row>
        <row r="236">
          <cell r="A236">
            <v>218</v>
          </cell>
          <cell r="C236">
            <v>7369269.0968261585</v>
          </cell>
          <cell r="D236">
            <v>72180.70750002694</v>
          </cell>
          <cell r="E236">
            <v>0</v>
          </cell>
          <cell r="F236">
            <v>72180.70750002694</v>
          </cell>
          <cell r="G236">
            <v>35457.183167509917</v>
          </cell>
          <cell r="H236">
            <v>36723.524332517023</v>
          </cell>
          <cell r="I236">
            <v>7333811.9136586487</v>
          </cell>
        </row>
        <row r="237">
          <cell r="A237">
            <v>219</v>
          </cell>
          <cell r="C237">
            <v>7333811.9136586487</v>
          </cell>
          <cell r="D237">
            <v>72180.70750002694</v>
          </cell>
          <cell r="E237">
            <v>0</v>
          </cell>
          <cell r="F237">
            <v>72180.70750002694</v>
          </cell>
          <cell r="G237">
            <v>35633.878130294674</v>
          </cell>
          <cell r="H237">
            <v>36546.829369732266</v>
          </cell>
          <cell r="I237">
            <v>7298178.0355283543</v>
          </cell>
        </row>
        <row r="238">
          <cell r="A238">
            <v>220</v>
          </cell>
          <cell r="C238">
            <v>7298178.0355283543</v>
          </cell>
          <cell r="D238">
            <v>72180.70750002694</v>
          </cell>
          <cell r="E238">
            <v>0</v>
          </cell>
          <cell r="F238">
            <v>72180.70750002694</v>
          </cell>
          <cell r="G238">
            <v>35811.453622977308</v>
          </cell>
          <cell r="H238">
            <v>36369.253877049632</v>
          </cell>
          <cell r="I238">
            <v>7262366.5819053771</v>
          </cell>
        </row>
        <row r="239">
          <cell r="A239">
            <v>221</v>
          </cell>
          <cell r="C239">
            <v>7262366.5819053771</v>
          </cell>
          <cell r="D239">
            <v>72180.70750002694</v>
          </cell>
          <cell r="E239">
            <v>0</v>
          </cell>
          <cell r="F239">
            <v>72180.70750002694</v>
          </cell>
          <cell r="G239">
            <v>35989.914033531815</v>
          </cell>
          <cell r="H239">
            <v>36190.793466495124</v>
          </cell>
          <cell r="I239">
            <v>7226376.667871845</v>
          </cell>
        </row>
        <row r="240">
          <cell r="A240">
            <v>222</v>
          </cell>
          <cell r="C240">
            <v>7226376.667871845</v>
          </cell>
          <cell r="D240">
            <v>72180.70750002694</v>
          </cell>
          <cell r="E240">
            <v>0</v>
          </cell>
          <cell r="F240">
            <v>72180.70750002694</v>
          </cell>
          <cell r="G240">
            <v>36169.263771798913</v>
          </cell>
          <cell r="H240">
            <v>36011.443728228027</v>
          </cell>
          <cell r="I240">
            <v>7190207.4041000465</v>
          </cell>
        </row>
        <row r="241">
          <cell r="A241">
            <v>223</v>
          </cell>
          <cell r="C241">
            <v>7190207.4041000465</v>
          </cell>
          <cell r="D241">
            <v>72180.70750002694</v>
          </cell>
          <cell r="E241">
            <v>0</v>
          </cell>
          <cell r="F241">
            <v>72180.70750002694</v>
          </cell>
          <cell r="G241">
            <v>36349.507269595044</v>
          </cell>
          <cell r="H241">
            <v>35831.200230431896</v>
          </cell>
          <cell r="I241">
            <v>7153857.8968304517</v>
          </cell>
        </row>
        <row r="242">
          <cell r="A242">
            <v>224</v>
          </cell>
          <cell r="C242">
            <v>7153857.8968304517</v>
          </cell>
          <cell r="D242">
            <v>72180.70750002694</v>
          </cell>
          <cell r="E242">
            <v>0</v>
          </cell>
          <cell r="F242">
            <v>72180.70750002694</v>
          </cell>
          <cell r="G242">
            <v>36530.648980821854</v>
          </cell>
          <cell r="H242">
            <v>35650.058519205086</v>
          </cell>
          <cell r="I242">
            <v>7117327.2478496302</v>
          </cell>
        </row>
        <row r="243">
          <cell r="A243">
            <v>225</v>
          </cell>
          <cell r="C243">
            <v>7117327.2478496302</v>
          </cell>
          <cell r="D243">
            <v>72180.70750002694</v>
          </cell>
          <cell r="E243">
            <v>0</v>
          </cell>
          <cell r="F243">
            <v>72180.70750002694</v>
          </cell>
          <cell r="G243">
            <v>36712.693381576282</v>
          </cell>
          <cell r="H243">
            <v>35468.014118450657</v>
          </cell>
          <cell r="I243">
            <v>7080614.5544680543</v>
          </cell>
        </row>
        <row r="244">
          <cell r="A244">
            <v>226</v>
          </cell>
          <cell r="C244">
            <v>7080614.5544680543</v>
          </cell>
          <cell r="D244">
            <v>72180.70750002694</v>
          </cell>
          <cell r="E244">
            <v>0</v>
          </cell>
          <cell r="F244">
            <v>72180.70750002694</v>
          </cell>
          <cell r="G244">
            <v>36895.644970261135</v>
          </cell>
          <cell r="H244">
            <v>35285.062529765804</v>
          </cell>
          <cell r="I244">
            <v>7043718.9094977928</v>
          </cell>
        </row>
        <row r="245">
          <cell r="A245">
            <v>227</v>
          </cell>
          <cell r="C245">
            <v>7043718.9094977928</v>
          </cell>
          <cell r="D245">
            <v>72180.70750002694</v>
          </cell>
          <cell r="E245">
            <v>0</v>
          </cell>
          <cell r="F245">
            <v>72180.70750002694</v>
          </cell>
          <cell r="G245">
            <v>37079.50826769627</v>
          </cell>
          <cell r="H245">
            <v>35101.199232330669</v>
          </cell>
          <cell r="I245">
            <v>7006639.4012300968</v>
          </cell>
        </row>
        <row r="246">
          <cell r="A246">
            <v>228</v>
          </cell>
          <cell r="C246">
            <v>7006639.4012300968</v>
          </cell>
          <cell r="D246">
            <v>72180.70750002694</v>
          </cell>
          <cell r="E246">
            <v>0</v>
          </cell>
          <cell r="F246">
            <v>72180.70750002694</v>
          </cell>
          <cell r="G246">
            <v>37264.287817230295</v>
          </cell>
          <cell r="H246">
            <v>34916.419682796644</v>
          </cell>
          <cell r="I246">
            <v>6969375.1134128664</v>
          </cell>
        </row>
        <row r="247">
          <cell r="A247">
            <v>229</v>
          </cell>
          <cell r="C247">
            <v>6969375.1134128664</v>
          </cell>
          <cell r="D247">
            <v>72180.70750002694</v>
          </cell>
          <cell r="E247">
            <v>0</v>
          </cell>
          <cell r="F247">
            <v>72180.70750002694</v>
          </cell>
          <cell r="G247">
            <v>37449.988184852824</v>
          </cell>
          <cell r="H247">
            <v>34730.719315174116</v>
          </cell>
          <cell r="I247">
            <v>6931925.1252280138</v>
          </cell>
        </row>
        <row r="248">
          <cell r="A248">
            <v>230</v>
          </cell>
          <cell r="C248">
            <v>6931925.1252280138</v>
          </cell>
          <cell r="D248">
            <v>72180.70750002694</v>
          </cell>
          <cell r="E248">
            <v>0</v>
          </cell>
          <cell r="F248">
            <v>72180.70750002694</v>
          </cell>
          <cell r="G248">
            <v>37636.613959307339</v>
          </cell>
          <cell r="H248">
            <v>34544.093540719601</v>
          </cell>
          <cell r="I248">
            <v>6894288.5112687061</v>
          </cell>
        </row>
        <row r="249">
          <cell r="A249">
            <v>231</v>
          </cell>
          <cell r="C249">
            <v>6894288.5112687061</v>
          </cell>
          <cell r="D249">
            <v>72180.70750002694</v>
          </cell>
          <cell r="E249">
            <v>0</v>
          </cell>
          <cell r="F249">
            <v>72180.70750002694</v>
          </cell>
          <cell r="G249">
            <v>37824.169752204551</v>
          </cell>
          <cell r="H249">
            <v>34356.537747822389</v>
          </cell>
          <cell r="I249">
            <v>6856464.3415165013</v>
          </cell>
        </row>
        <row r="250">
          <cell r="A250">
            <v>232</v>
          </cell>
          <cell r="C250">
            <v>6856464.3415165013</v>
          </cell>
          <cell r="D250">
            <v>72180.70750002694</v>
          </cell>
          <cell r="E250">
            <v>0</v>
          </cell>
          <cell r="F250">
            <v>72180.70750002694</v>
          </cell>
          <cell r="G250">
            <v>38012.660198136371</v>
          </cell>
          <cell r="H250">
            <v>34168.047301890569</v>
          </cell>
          <cell r="I250">
            <v>6818451.681318365</v>
          </cell>
        </row>
        <row r="251">
          <cell r="A251">
            <v>233</v>
          </cell>
          <cell r="C251">
            <v>6818451.681318365</v>
          </cell>
          <cell r="D251">
            <v>72180.70750002694</v>
          </cell>
          <cell r="E251">
            <v>0</v>
          </cell>
          <cell r="F251">
            <v>72180.70750002694</v>
          </cell>
          <cell r="G251">
            <v>38202.089954790419</v>
          </cell>
          <cell r="H251">
            <v>33978.617545236521</v>
          </cell>
          <cell r="I251">
            <v>6780249.5913635744</v>
          </cell>
        </row>
        <row r="252">
          <cell r="A252">
            <v>234</v>
          </cell>
          <cell r="C252">
            <v>6780249.5913635744</v>
          </cell>
          <cell r="D252">
            <v>72180.70750002694</v>
          </cell>
          <cell r="E252">
            <v>0</v>
          </cell>
          <cell r="F252">
            <v>72180.70750002694</v>
          </cell>
          <cell r="G252">
            <v>38392.463703065128</v>
          </cell>
          <cell r="H252">
            <v>33788.243796961811</v>
          </cell>
          <cell r="I252">
            <v>6741857.1276605092</v>
          </cell>
        </row>
        <row r="253">
          <cell r="A253">
            <v>235</v>
          </cell>
          <cell r="C253">
            <v>6741857.1276605092</v>
          </cell>
          <cell r="D253">
            <v>72180.70750002694</v>
          </cell>
          <cell r="E253">
            <v>0</v>
          </cell>
          <cell r="F253">
            <v>72180.70750002694</v>
          </cell>
          <cell r="G253">
            <v>38583.786147185405</v>
          </cell>
          <cell r="H253">
            <v>33596.921352841535</v>
          </cell>
          <cell r="I253">
            <v>6703273.3415133236</v>
          </cell>
        </row>
        <row r="254">
          <cell r="A254">
            <v>236</v>
          </cell>
          <cell r="C254">
            <v>6703273.3415133236</v>
          </cell>
          <cell r="D254">
            <v>72180.70750002694</v>
          </cell>
          <cell r="E254">
            <v>0</v>
          </cell>
          <cell r="F254">
            <v>72180.70750002694</v>
          </cell>
          <cell r="G254">
            <v>38776.062014818875</v>
          </cell>
          <cell r="H254">
            <v>33404.645485208064</v>
          </cell>
          <cell r="I254">
            <v>6664497.2794985045</v>
          </cell>
        </row>
        <row r="255">
          <cell r="A255">
            <v>237</v>
          </cell>
          <cell r="C255">
            <v>6664497.2794985045</v>
          </cell>
          <cell r="D255">
            <v>72180.70750002694</v>
          </cell>
          <cell r="E255">
            <v>0</v>
          </cell>
          <cell r="F255">
            <v>72180.70750002694</v>
          </cell>
          <cell r="G255">
            <v>38969.296057192725</v>
          </cell>
          <cell r="H255">
            <v>33211.411442834215</v>
          </cell>
          <cell r="I255">
            <v>6625527.9834413119</v>
          </cell>
        </row>
        <row r="256">
          <cell r="A256">
            <v>238</v>
          </cell>
          <cell r="C256">
            <v>6625527.9834413119</v>
          </cell>
          <cell r="D256">
            <v>72180.70750002694</v>
          </cell>
          <cell r="E256">
            <v>0</v>
          </cell>
          <cell r="F256">
            <v>72180.70750002694</v>
          </cell>
          <cell r="G256">
            <v>39163.493049211065</v>
          </cell>
          <cell r="H256">
            <v>33017.214450815874</v>
          </cell>
          <cell r="I256">
            <v>6586364.490392101</v>
          </cell>
        </row>
        <row r="257">
          <cell r="A257">
            <v>239</v>
          </cell>
          <cell r="C257">
            <v>6586364.490392101</v>
          </cell>
          <cell r="D257">
            <v>72180.70750002694</v>
          </cell>
          <cell r="E257">
            <v>0</v>
          </cell>
          <cell r="F257">
            <v>72180.70750002694</v>
          </cell>
          <cell r="G257">
            <v>39358.657789572972</v>
          </cell>
          <cell r="H257">
            <v>32822.049710453968</v>
          </cell>
          <cell r="I257">
            <v>6547005.8326025279</v>
          </cell>
        </row>
        <row r="258">
          <cell r="A258">
            <v>240</v>
          </cell>
          <cell r="C258">
            <v>6547005.8326025279</v>
          </cell>
          <cell r="D258">
            <v>72180.70750002694</v>
          </cell>
          <cell r="E258">
            <v>0</v>
          </cell>
          <cell r="F258">
            <v>72180.70750002694</v>
          </cell>
          <cell r="G258">
            <v>39554.795100891002</v>
          </cell>
          <cell r="H258">
            <v>32625.912399135934</v>
          </cell>
          <cell r="I258">
            <v>6507451.0375016369</v>
          </cell>
        </row>
        <row r="259">
          <cell r="A259">
            <v>241</v>
          </cell>
          <cell r="C259">
            <v>6507451.0375016369</v>
          </cell>
          <cell r="D259">
            <v>72180.70750002694</v>
          </cell>
          <cell r="E259">
            <v>0</v>
          </cell>
          <cell r="F259">
            <v>72180.70750002694</v>
          </cell>
          <cell r="G259">
            <v>39751.909829810451</v>
          </cell>
          <cell r="H259">
            <v>32428.797670216489</v>
          </cell>
          <cell r="I259">
            <v>6467699.1276718266</v>
          </cell>
        </row>
        <row r="260">
          <cell r="A260">
            <v>242</v>
          </cell>
          <cell r="C260">
            <v>6467699.1276718266</v>
          </cell>
          <cell r="D260">
            <v>72180.70750002694</v>
          </cell>
          <cell r="E260">
            <v>0</v>
          </cell>
          <cell r="F260">
            <v>72180.70750002694</v>
          </cell>
          <cell r="G260">
            <v>39950.006847129</v>
          </cell>
          <cell r="H260">
            <v>32230.700652897936</v>
          </cell>
          <cell r="I260">
            <v>6427749.1208246974</v>
          </cell>
        </row>
        <row r="261">
          <cell r="A261">
            <v>243</v>
          </cell>
          <cell r="C261">
            <v>6427749.1208246974</v>
          </cell>
          <cell r="D261">
            <v>72180.70750002694</v>
          </cell>
          <cell r="E261">
            <v>0</v>
          </cell>
          <cell r="F261">
            <v>72180.70750002694</v>
          </cell>
          <cell r="G261">
            <v>40149.091047917202</v>
          </cell>
          <cell r="H261">
            <v>32031.616452109742</v>
          </cell>
          <cell r="I261">
            <v>6387600.0297767799</v>
          </cell>
        </row>
        <row r="262">
          <cell r="A262">
            <v>244</v>
          </cell>
          <cell r="C262">
            <v>6387600.0297767799</v>
          </cell>
          <cell r="D262">
            <v>72180.70750002694</v>
          </cell>
          <cell r="E262">
            <v>0</v>
          </cell>
          <cell r="F262">
            <v>72180.70750002694</v>
          </cell>
          <cell r="G262">
            <v>40349.16735163932</v>
          </cell>
          <cell r="H262">
            <v>31831.540148387619</v>
          </cell>
          <cell r="I262">
            <v>6347250.862425141</v>
          </cell>
        </row>
        <row r="263">
          <cell r="A263">
            <v>245</v>
          </cell>
          <cell r="C263">
            <v>6347250.862425141</v>
          </cell>
          <cell r="D263">
            <v>72180.70750002694</v>
          </cell>
          <cell r="E263">
            <v>0</v>
          </cell>
          <cell r="F263">
            <v>72180.70750002694</v>
          </cell>
          <cell r="G263">
            <v>40550.240702274983</v>
          </cell>
          <cell r="H263">
            <v>31630.466797751953</v>
          </cell>
          <cell r="I263">
            <v>6306700.6217228658</v>
          </cell>
        </row>
        <row r="264">
          <cell r="A264">
            <v>246</v>
          </cell>
          <cell r="C264">
            <v>6306700.6217228658</v>
          </cell>
          <cell r="D264">
            <v>72180.70750002694</v>
          </cell>
          <cell r="E264">
            <v>0</v>
          </cell>
          <cell r="F264">
            <v>72180.70750002694</v>
          </cell>
          <cell r="G264">
            <v>40752.316068441331</v>
          </cell>
          <cell r="H264">
            <v>31428.391431585613</v>
          </cell>
          <cell r="I264">
            <v>6265948.3056544242</v>
          </cell>
        </row>
        <row r="265">
          <cell r="A265">
            <v>247</v>
          </cell>
          <cell r="C265">
            <v>6265948.3056544242</v>
          </cell>
          <cell r="D265">
            <v>72180.70750002694</v>
          </cell>
          <cell r="E265">
            <v>0</v>
          </cell>
          <cell r="F265">
            <v>72180.70750002694</v>
          </cell>
          <cell r="G265">
            <v>40955.398443515733</v>
          </cell>
          <cell r="H265">
            <v>31225.309056511211</v>
          </cell>
          <cell r="I265">
            <v>6224992.9072109088</v>
          </cell>
        </row>
        <row r="266">
          <cell r="A266">
            <v>248</v>
          </cell>
          <cell r="C266">
            <v>6224992.9072109088</v>
          </cell>
          <cell r="D266">
            <v>72180.70750002694</v>
          </cell>
          <cell r="E266">
            <v>0</v>
          </cell>
          <cell r="F266">
            <v>72180.70750002694</v>
          </cell>
          <cell r="G266">
            <v>41159.492845759247</v>
          </cell>
          <cell r="H266">
            <v>31021.214654267693</v>
          </cell>
          <cell r="I266">
            <v>6183833.41436515</v>
          </cell>
        </row>
        <row r="267">
          <cell r="A267">
            <v>249</v>
          </cell>
          <cell r="C267">
            <v>6183833.41436515</v>
          </cell>
          <cell r="D267">
            <v>72180.70750002694</v>
          </cell>
          <cell r="E267">
            <v>0</v>
          </cell>
          <cell r="F267">
            <v>72180.70750002694</v>
          </cell>
          <cell r="G267">
            <v>41364.604318440615</v>
          </cell>
          <cell r="H267">
            <v>30816.103181586328</v>
          </cell>
          <cell r="I267">
            <v>6142468.8100467091</v>
          </cell>
        </row>
        <row r="268">
          <cell r="A268">
            <v>250</v>
          </cell>
          <cell r="C268">
            <v>6142468.8100467091</v>
          </cell>
          <cell r="D268">
            <v>72180.70750002694</v>
          </cell>
          <cell r="E268">
            <v>0</v>
          </cell>
          <cell r="F268">
            <v>72180.70750002694</v>
          </cell>
          <cell r="G268">
            <v>41570.737929960844</v>
          </cell>
          <cell r="H268">
            <v>30609.9695700661</v>
          </cell>
          <cell r="I268">
            <v>6100898.0721167484</v>
          </cell>
        </row>
        <row r="269">
          <cell r="A269">
            <v>251</v>
          </cell>
          <cell r="C269">
            <v>6100898.0721167484</v>
          </cell>
          <cell r="D269">
            <v>72180.70750002694</v>
          </cell>
          <cell r="E269">
            <v>0</v>
          </cell>
          <cell r="F269">
            <v>72180.70750002694</v>
          </cell>
          <cell r="G269">
            <v>41777.898773978479</v>
          </cell>
          <cell r="H269">
            <v>30402.808726048461</v>
          </cell>
          <cell r="I269">
            <v>6059120.17334277</v>
          </cell>
        </row>
        <row r="270">
          <cell r="A270">
            <v>252</v>
          </cell>
          <cell r="C270">
            <v>6059120.17334277</v>
          </cell>
          <cell r="D270">
            <v>72180.70750002694</v>
          </cell>
          <cell r="E270">
            <v>0</v>
          </cell>
          <cell r="F270">
            <v>72180.70750002694</v>
          </cell>
          <cell r="G270">
            <v>41986.091969535468</v>
          </cell>
          <cell r="H270">
            <v>30194.615530491472</v>
          </cell>
          <cell r="I270">
            <v>6017134.0813732343</v>
          </cell>
        </row>
        <row r="271">
          <cell r="A271">
            <v>253</v>
          </cell>
          <cell r="C271">
            <v>6017134.0813732343</v>
          </cell>
          <cell r="D271">
            <v>72180.70750002694</v>
          </cell>
          <cell r="E271">
            <v>0</v>
          </cell>
          <cell r="F271">
            <v>72180.70750002694</v>
          </cell>
          <cell r="G271">
            <v>42195.322661183658</v>
          </cell>
          <cell r="H271">
            <v>29985.384838843282</v>
          </cell>
          <cell r="I271">
            <v>5974938.7587120505</v>
          </cell>
        </row>
        <row r="272">
          <cell r="A272">
            <v>254</v>
          </cell>
          <cell r="C272">
            <v>5974938.7587120505</v>
          </cell>
          <cell r="D272">
            <v>72180.70750002694</v>
          </cell>
          <cell r="E272">
            <v>0</v>
          </cell>
          <cell r="F272">
            <v>72180.70750002694</v>
          </cell>
          <cell r="G272">
            <v>42405.596019111894</v>
          </cell>
          <cell r="H272">
            <v>29775.111480915049</v>
          </cell>
          <cell r="I272">
            <v>5932533.1626929389</v>
          </cell>
        </row>
        <row r="273">
          <cell r="A273">
            <v>255</v>
          </cell>
          <cell r="C273">
            <v>5932533.1626929389</v>
          </cell>
          <cell r="D273">
            <v>72180.70750002694</v>
          </cell>
          <cell r="E273">
            <v>0</v>
          </cell>
          <cell r="F273">
            <v>72180.70750002694</v>
          </cell>
          <cell r="G273">
            <v>42616.917239273796</v>
          </cell>
          <cell r="H273">
            <v>29563.790260753143</v>
          </cell>
          <cell r="I273">
            <v>5889916.245453665</v>
          </cell>
        </row>
        <row r="274">
          <cell r="A274">
            <v>256</v>
          </cell>
          <cell r="C274">
            <v>5889916.245453665</v>
          </cell>
          <cell r="D274">
            <v>72180.70750002694</v>
          </cell>
          <cell r="E274">
            <v>0</v>
          </cell>
          <cell r="F274">
            <v>72180.70750002694</v>
          </cell>
          <cell r="G274">
            <v>42829.29154351617</v>
          </cell>
          <cell r="H274">
            <v>29351.415956510766</v>
          </cell>
          <cell r="I274">
            <v>5847086.9539101487</v>
          </cell>
        </row>
        <row r="275">
          <cell r="A275">
            <v>257</v>
          </cell>
          <cell r="C275">
            <v>5847086.9539101487</v>
          </cell>
          <cell r="D275">
            <v>72180.70750002694</v>
          </cell>
          <cell r="E275">
            <v>0</v>
          </cell>
          <cell r="F275">
            <v>72180.70750002694</v>
          </cell>
          <cell r="G275">
            <v>43042.724179708035</v>
          </cell>
          <cell r="H275">
            <v>29137.983320318908</v>
          </cell>
          <cell r="I275">
            <v>5804044.2297304403</v>
          </cell>
        </row>
        <row r="276">
          <cell r="A276">
            <v>258</v>
          </cell>
          <cell r="C276">
            <v>5804044.2297304403</v>
          </cell>
          <cell r="D276">
            <v>72180.70750002694</v>
          </cell>
          <cell r="E276">
            <v>0</v>
          </cell>
          <cell r="F276">
            <v>72180.70750002694</v>
          </cell>
          <cell r="G276">
            <v>43257.220421870239</v>
          </cell>
          <cell r="H276">
            <v>28923.487078156697</v>
          </cell>
          <cell r="I276">
            <v>5760787.0093085701</v>
          </cell>
        </row>
        <row r="277">
          <cell r="A277">
            <v>259</v>
          </cell>
          <cell r="C277">
            <v>5760787.0093085701</v>
          </cell>
          <cell r="D277">
            <v>72180.70750002694</v>
          </cell>
          <cell r="E277">
            <v>0</v>
          </cell>
          <cell r="F277">
            <v>72180.70750002694</v>
          </cell>
          <cell r="G277">
            <v>43472.785570305903</v>
          </cell>
          <cell r="H277">
            <v>28707.92192972104</v>
          </cell>
          <cell r="I277">
            <v>5717314.2237382643</v>
          </cell>
        </row>
        <row r="278">
          <cell r="A278">
            <v>260</v>
          </cell>
          <cell r="C278">
            <v>5717314.2237382643</v>
          </cell>
          <cell r="D278">
            <v>72180.70750002694</v>
          </cell>
          <cell r="E278">
            <v>0</v>
          </cell>
          <cell r="F278">
            <v>72180.70750002694</v>
          </cell>
          <cell r="G278">
            <v>43689.424951731256</v>
          </cell>
          <cell r="H278">
            <v>28491.282548295683</v>
          </cell>
          <cell r="I278">
            <v>5673624.7987865331</v>
          </cell>
        </row>
        <row r="279">
          <cell r="A279">
            <v>261</v>
          </cell>
          <cell r="C279">
            <v>5673624.7987865331</v>
          </cell>
          <cell r="D279">
            <v>72180.70750002694</v>
          </cell>
          <cell r="E279">
            <v>0</v>
          </cell>
          <cell r="F279">
            <v>72180.70750002694</v>
          </cell>
          <cell r="G279">
            <v>43907.14391940739</v>
          </cell>
          <cell r="H279">
            <v>28273.563580619553</v>
          </cell>
          <cell r="I279">
            <v>5629717.6548671257</v>
          </cell>
        </row>
        <row r="280">
          <cell r="A280">
            <v>262</v>
          </cell>
          <cell r="C280">
            <v>5629717.6548671257</v>
          </cell>
          <cell r="D280">
            <v>72180.70750002694</v>
          </cell>
          <cell r="E280">
            <v>0</v>
          </cell>
          <cell r="F280">
            <v>72180.70750002694</v>
          </cell>
          <cell r="G280">
            <v>44125.947853272432</v>
          </cell>
          <cell r="H280">
            <v>28054.759646754508</v>
          </cell>
          <cell r="I280">
            <v>5585591.7070138529</v>
          </cell>
        </row>
        <row r="281">
          <cell r="A281">
            <v>263</v>
          </cell>
          <cell r="C281">
            <v>5585591.7070138529</v>
          </cell>
          <cell r="D281">
            <v>72180.70750002694</v>
          </cell>
          <cell r="E281">
            <v>0</v>
          </cell>
          <cell r="F281">
            <v>72180.70750002694</v>
          </cell>
          <cell r="G281">
            <v>44345.842160074579</v>
          </cell>
          <cell r="H281">
            <v>27834.865339952365</v>
          </cell>
          <cell r="I281">
            <v>5541245.8648537779</v>
          </cell>
        </row>
        <row r="282">
          <cell r="A282">
            <v>264</v>
          </cell>
          <cell r="C282">
            <v>5541245.8648537779</v>
          </cell>
          <cell r="D282">
            <v>72180.70750002694</v>
          </cell>
          <cell r="E282">
            <v>0</v>
          </cell>
          <cell r="F282">
            <v>72180.70750002694</v>
          </cell>
          <cell r="G282">
            <v>44566.832273505614</v>
          </cell>
          <cell r="H282">
            <v>27613.875226521326</v>
          </cell>
          <cell r="I282">
            <v>5496679.0325802723</v>
          </cell>
        </row>
        <row r="283">
          <cell r="A283">
            <v>265</v>
          </cell>
          <cell r="C283">
            <v>5496679.0325802723</v>
          </cell>
          <cell r="D283">
            <v>72180.70750002694</v>
          </cell>
          <cell r="E283">
            <v>0</v>
          </cell>
          <cell r="F283">
            <v>72180.70750002694</v>
          </cell>
          <cell r="G283">
            <v>44788.923654335245</v>
          </cell>
          <cell r="H283">
            <v>27391.783845691691</v>
          </cell>
          <cell r="I283">
            <v>5451890.1089259367</v>
          </cell>
        </row>
        <row r="284">
          <cell r="A284">
            <v>266</v>
          </cell>
          <cell r="C284">
            <v>5451890.1089259367</v>
          </cell>
          <cell r="D284">
            <v>72180.70750002694</v>
          </cell>
          <cell r="E284">
            <v>0</v>
          </cell>
          <cell r="F284">
            <v>72180.70750002694</v>
          </cell>
          <cell r="G284">
            <v>45012.121790546022</v>
          </cell>
          <cell r="H284">
            <v>27168.585709480918</v>
          </cell>
          <cell r="I284">
            <v>5406877.9871353908</v>
          </cell>
        </row>
        <row r="285">
          <cell r="A285">
            <v>267</v>
          </cell>
          <cell r="C285">
            <v>5406877.9871353908</v>
          </cell>
          <cell r="D285">
            <v>72180.70750002694</v>
          </cell>
          <cell r="E285">
            <v>0</v>
          </cell>
          <cell r="F285">
            <v>72180.70750002694</v>
          </cell>
          <cell r="G285">
            <v>45236.432197468908</v>
          </cell>
          <cell r="H285">
            <v>26944.275302558031</v>
          </cell>
          <cell r="I285">
            <v>5361641.5549379215</v>
          </cell>
        </row>
        <row r="286">
          <cell r="A286">
            <v>268</v>
          </cell>
          <cell r="C286">
            <v>5361641.5549379215</v>
          </cell>
          <cell r="D286">
            <v>72180.70750002694</v>
          </cell>
          <cell r="E286">
            <v>0</v>
          </cell>
          <cell r="F286">
            <v>72180.70750002694</v>
          </cell>
          <cell r="G286">
            <v>45461.860417919626</v>
          </cell>
          <cell r="H286">
            <v>26718.84708210731</v>
          </cell>
          <cell r="I286">
            <v>5316179.6945200022</v>
          </cell>
        </row>
        <row r="287">
          <cell r="A287">
            <v>269</v>
          </cell>
          <cell r="C287">
            <v>5316179.6945200022</v>
          </cell>
          <cell r="D287">
            <v>72180.70750002694</v>
          </cell>
          <cell r="E287">
            <v>0</v>
          </cell>
          <cell r="F287">
            <v>72180.70750002694</v>
          </cell>
          <cell r="G287">
            <v>45688.4120223356</v>
          </cell>
          <cell r="H287">
            <v>26492.295477691343</v>
          </cell>
          <cell r="I287">
            <v>5270491.2824976668</v>
          </cell>
        </row>
        <row r="288">
          <cell r="A288">
            <v>270</v>
          </cell>
          <cell r="C288">
            <v>5270491.2824976668</v>
          </cell>
          <cell r="D288">
            <v>72180.70750002694</v>
          </cell>
          <cell r="E288">
            <v>0</v>
          </cell>
          <cell r="F288">
            <v>72180.70750002694</v>
          </cell>
          <cell r="G288">
            <v>45916.092608913561</v>
          </cell>
          <cell r="H288">
            <v>26264.614891113375</v>
          </cell>
          <cell r="I288">
            <v>5224575.189888753</v>
          </cell>
        </row>
        <row r="289">
          <cell r="A289">
            <v>271</v>
          </cell>
          <cell r="C289">
            <v>5224575.189888753</v>
          </cell>
          <cell r="D289">
            <v>72180.70750002694</v>
          </cell>
          <cell r="E289">
            <v>0</v>
          </cell>
          <cell r="F289">
            <v>72180.70750002694</v>
          </cell>
          <cell r="G289">
            <v>46144.907803747992</v>
          </cell>
          <cell r="H289">
            <v>26035.799696278951</v>
          </cell>
          <cell r="I289">
            <v>5178430.2820850052</v>
          </cell>
        </row>
        <row r="290">
          <cell r="A290">
            <v>272</v>
          </cell>
          <cell r="C290">
            <v>5178430.2820850052</v>
          </cell>
          <cell r="D290">
            <v>72180.70750002694</v>
          </cell>
          <cell r="E290">
            <v>0</v>
          </cell>
          <cell r="F290">
            <v>72180.70750002694</v>
          </cell>
          <cell r="G290">
            <v>46374.86326097</v>
          </cell>
          <cell r="H290">
            <v>25805.84423905694</v>
          </cell>
          <cell r="I290">
            <v>5132055.4188240347</v>
          </cell>
        </row>
        <row r="291">
          <cell r="A291">
            <v>273</v>
          </cell>
          <cell r="C291">
            <v>5132055.4188240347</v>
          </cell>
          <cell r="D291">
            <v>72180.70750002694</v>
          </cell>
          <cell r="E291">
            <v>0</v>
          </cell>
          <cell r="F291">
            <v>72180.70750002694</v>
          </cell>
          <cell r="G291">
            <v>46605.964662887171</v>
          </cell>
          <cell r="H291">
            <v>25574.742837139773</v>
          </cell>
          <cell r="I291">
            <v>5085449.4541611476</v>
          </cell>
        </row>
        <row r="292">
          <cell r="A292">
            <v>274</v>
          </cell>
          <cell r="C292">
            <v>5085449.4541611476</v>
          </cell>
          <cell r="D292">
            <v>72180.70750002694</v>
          </cell>
          <cell r="E292">
            <v>0</v>
          </cell>
          <cell r="F292">
            <v>72180.70750002694</v>
          </cell>
          <cell r="G292">
            <v>46838.217720123881</v>
          </cell>
          <cell r="H292">
            <v>25342.489779903055</v>
          </cell>
          <cell r="I292">
            <v>5038611.2364410236</v>
          </cell>
        </row>
        <row r="293">
          <cell r="A293">
            <v>275</v>
          </cell>
          <cell r="C293">
            <v>5038611.2364410236</v>
          </cell>
          <cell r="D293">
            <v>72180.70750002694</v>
          </cell>
          <cell r="E293">
            <v>0</v>
          </cell>
          <cell r="F293">
            <v>72180.70750002694</v>
          </cell>
          <cell r="G293">
            <v>47071.62817176251</v>
          </cell>
          <cell r="H293">
            <v>25109.079328264434</v>
          </cell>
          <cell r="I293">
            <v>4991539.6082692612</v>
          </cell>
        </row>
        <row r="294">
          <cell r="A294">
            <v>276</v>
          </cell>
          <cell r="C294">
            <v>4991539.6082692612</v>
          </cell>
          <cell r="D294">
            <v>72180.70750002694</v>
          </cell>
          <cell r="E294">
            <v>0</v>
          </cell>
          <cell r="F294">
            <v>72180.70750002694</v>
          </cell>
          <cell r="G294">
            <v>47306.201785485115</v>
          </cell>
          <cell r="H294">
            <v>24874.505714541821</v>
          </cell>
          <cell r="I294">
            <v>4944233.4064837759</v>
          </cell>
        </row>
        <row r="295">
          <cell r="A295">
            <v>277</v>
          </cell>
          <cell r="C295">
            <v>4944233.4064837759</v>
          </cell>
          <cell r="D295">
            <v>72180.70750002694</v>
          </cell>
          <cell r="E295">
            <v>0</v>
          </cell>
          <cell r="F295">
            <v>72180.70750002694</v>
          </cell>
          <cell r="G295">
            <v>47541.944357716129</v>
          </cell>
          <cell r="H295">
            <v>24638.763142310814</v>
          </cell>
          <cell r="I295">
            <v>4896691.4621260595</v>
          </cell>
        </row>
        <row r="296">
          <cell r="A296">
            <v>278</v>
          </cell>
          <cell r="C296">
            <v>4896691.4621260595</v>
          </cell>
          <cell r="D296">
            <v>72180.70750002694</v>
          </cell>
          <cell r="E296">
            <v>0</v>
          </cell>
          <cell r="F296">
            <v>72180.70750002694</v>
          </cell>
          <cell r="G296">
            <v>47778.861713765407</v>
          </cell>
          <cell r="H296">
            <v>24401.845786261529</v>
          </cell>
          <cell r="I296">
            <v>4848912.6004122943</v>
          </cell>
        </row>
        <row r="297">
          <cell r="A297">
            <v>279</v>
          </cell>
          <cell r="C297">
            <v>4848912.6004122943</v>
          </cell>
          <cell r="D297">
            <v>72180.70750002694</v>
          </cell>
          <cell r="E297">
            <v>0</v>
          </cell>
          <cell r="F297">
            <v>72180.70750002694</v>
          </cell>
          <cell r="G297">
            <v>48016.959707972346</v>
          </cell>
          <cell r="H297">
            <v>24163.747792054597</v>
          </cell>
          <cell r="I297">
            <v>4800895.6407043217</v>
          </cell>
        </row>
        <row r="298">
          <cell r="A298">
            <v>280</v>
          </cell>
          <cell r="C298">
            <v>4800895.6407043217</v>
          </cell>
          <cell r="D298">
            <v>72180.70750002694</v>
          </cell>
          <cell r="E298">
            <v>0</v>
          </cell>
          <cell r="F298">
            <v>72180.70750002694</v>
          </cell>
          <cell r="G298">
            <v>48256.244223850401</v>
          </cell>
          <cell r="H298">
            <v>23924.463276176535</v>
          </cell>
          <cell r="I298">
            <v>4752639.3964804709</v>
          </cell>
        </row>
        <row r="299">
          <cell r="A299">
            <v>281</v>
          </cell>
          <cell r="C299">
            <v>4752639.3964804709</v>
          </cell>
          <cell r="D299">
            <v>72180.70750002694</v>
          </cell>
          <cell r="E299">
            <v>0</v>
          </cell>
          <cell r="F299">
            <v>72180.70750002694</v>
          </cell>
          <cell r="G299">
            <v>48496.721174232589</v>
          </cell>
          <cell r="H299">
            <v>23683.986325794347</v>
          </cell>
          <cell r="I299">
            <v>4704142.6753062382</v>
          </cell>
        </row>
        <row r="300">
          <cell r="A300">
            <v>282</v>
          </cell>
          <cell r="C300">
            <v>4704142.6753062382</v>
          </cell>
          <cell r="D300">
            <v>72180.70750002694</v>
          </cell>
          <cell r="E300">
            <v>0</v>
          </cell>
          <cell r="F300">
            <v>72180.70750002694</v>
          </cell>
          <cell r="G300">
            <v>48738.396501417519</v>
          </cell>
          <cell r="H300">
            <v>23442.31099860942</v>
          </cell>
          <cell r="I300">
            <v>4655404.278804821</v>
          </cell>
        </row>
        <row r="301">
          <cell r="A301">
            <v>283</v>
          </cell>
          <cell r="C301">
            <v>4655404.278804821</v>
          </cell>
          <cell r="D301">
            <v>72180.70750002694</v>
          </cell>
          <cell r="E301">
            <v>0</v>
          </cell>
          <cell r="F301">
            <v>72180.70750002694</v>
          </cell>
          <cell r="G301">
            <v>48981.276177316249</v>
          </cell>
          <cell r="H301">
            <v>23199.43132271069</v>
          </cell>
          <cell r="I301">
            <v>4606423.002627505</v>
          </cell>
        </row>
        <row r="302">
          <cell r="A302">
            <v>284</v>
          </cell>
          <cell r="C302">
            <v>4606423.002627505</v>
          </cell>
          <cell r="D302">
            <v>72180.70750002694</v>
          </cell>
          <cell r="E302">
            <v>0</v>
          </cell>
          <cell r="F302">
            <v>72180.70750002694</v>
          </cell>
          <cell r="G302">
            <v>49225.366203599871</v>
          </cell>
          <cell r="H302">
            <v>22955.341296427068</v>
          </cell>
          <cell r="I302">
            <v>4557197.6364239054</v>
          </cell>
        </row>
        <row r="303">
          <cell r="A303">
            <v>285</v>
          </cell>
          <cell r="C303">
            <v>4557197.6364239054</v>
          </cell>
          <cell r="D303">
            <v>72180.70750002694</v>
          </cell>
          <cell r="E303">
            <v>0</v>
          </cell>
          <cell r="F303">
            <v>72180.70750002694</v>
          </cell>
          <cell r="G303">
            <v>49470.672611847811</v>
          </cell>
          <cell r="H303">
            <v>22710.034888179129</v>
          </cell>
          <cell r="I303">
            <v>4507726.9638120579</v>
          </cell>
        </row>
        <row r="304">
          <cell r="A304">
            <v>286</v>
          </cell>
          <cell r="C304">
            <v>4507726.9638120579</v>
          </cell>
          <cell r="D304">
            <v>72180.70750002694</v>
          </cell>
          <cell r="E304">
            <v>0</v>
          </cell>
          <cell r="F304">
            <v>72180.70750002694</v>
          </cell>
          <cell r="G304">
            <v>49717.201463696852</v>
          </cell>
          <cell r="H304">
            <v>22463.506036330087</v>
          </cell>
          <cell r="I304">
            <v>4458009.7623483613</v>
          </cell>
        </row>
        <row r="305">
          <cell r="A305">
            <v>287</v>
          </cell>
          <cell r="C305">
            <v>4458009.7623483613</v>
          </cell>
          <cell r="D305">
            <v>72180.70750002694</v>
          </cell>
          <cell r="E305">
            <v>0</v>
          </cell>
          <cell r="F305">
            <v>72180.70750002694</v>
          </cell>
          <cell r="G305">
            <v>49964.958850990937</v>
          </cell>
          <cell r="H305">
            <v>22215.748649036002</v>
          </cell>
          <cell r="I305">
            <v>4408044.8034973703</v>
          </cell>
        </row>
        <row r="306">
          <cell r="A306">
            <v>288</v>
          </cell>
          <cell r="C306">
            <v>4408044.8034973703</v>
          </cell>
          <cell r="D306">
            <v>72180.70750002694</v>
          </cell>
          <cell r="E306">
            <v>0</v>
          </cell>
          <cell r="F306">
            <v>72180.70750002694</v>
          </cell>
          <cell r="G306">
            <v>50213.950895931717</v>
          </cell>
          <cell r="H306">
            <v>21966.756604095226</v>
          </cell>
          <cell r="I306">
            <v>4357830.8526014388</v>
          </cell>
        </row>
        <row r="307">
          <cell r="A307">
            <v>289</v>
          </cell>
          <cell r="C307">
            <v>4357830.8526014388</v>
          </cell>
          <cell r="D307">
            <v>72180.70750002694</v>
          </cell>
          <cell r="E307">
            <v>0</v>
          </cell>
          <cell r="F307">
            <v>72180.70750002694</v>
          </cell>
          <cell r="G307">
            <v>50464.183751229764</v>
          </cell>
          <cell r="H307">
            <v>21716.523748797172</v>
          </cell>
          <cell r="I307">
            <v>4307366.6688502086</v>
          </cell>
        </row>
        <row r="308">
          <cell r="A308">
            <v>290</v>
          </cell>
          <cell r="C308">
            <v>4307366.6688502086</v>
          </cell>
          <cell r="D308">
            <v>72180.70750002694</v>
          </cell>
          <cell r="E308">
            <v>0</v>
          </cell>
          <cell r="F308">
            <v>72180.70750002694</v>
          </cell>
          <cell r="G308">
            <v>50715.663600256739</v>
          </cell>
          <cell r="H308">
            <v>21465.043899770204</v>
          </cell>
          <cell r="I308">
            <v>4256651.005249952</v>
          </cell>
        </row>
        <row r="309">
          <cell r="A309">
            <v>291</v>
          </cell>
          <cell r="C309">
            <v>4256651.005249952</v>
          </cell>
          <cell r="D309">
            <v>72180.70750002694</v>
          </cell>
          <cell r="E309">
            <v>0</v>
          </cell>
          <cell r="F309">
            <v>72180.70750002694</v>
          </cell>
          <cell r="G309">
            <v>50968.396657198013</v>
          </cell>
          <cell r="H309">
            <v>21212.310842828927</v>
          </cell>
          <cell r="I309">
            <v>4205682.6085927542</v>
          </cell>
        </row>
        <row r="310">
          <cell r="A310">
            <v>292</v>
          </cell>
          <cell r="C310">
            <v>4205682.6085927542</v>
          </cell>
          <cell r="D310">
            <v>72180.70750002694</v>
          </cell>
          <cell r="E310">
            <v>0</v>
          </cell>
          <cell r="F310">
            <v>72180.70750002694</v>
          </cell>
          <cell r="G310">
            <v>51222.389167206376</v>
          </cell>
          <cell r="H310">
            <v>20958.31833282056</v>
          </cell>
          <cell r="I310">
            <v>4154460.2194255479</v>
          </cell>
        </row>
        <row r="311">
          <cell r="A311">
            <v>293</v>
          </cell>
          <cell r="C311">
            <v>4154460.2194255479</v>
          </cell>
          <cell r="D311">
            <v>72180.70750002694</v>
          </cell>
          <cell r="E311">
            <v>0</v>
          </cell>
          <cell r="F311">
            <v>72180.70750002694</v>
          </cell>
          <cell r="G311">
            <v>51477.647406556294</v>
          </cell>
          <cell r="H311">
            <v>20703.060093470645</v>
          </cell>
          <cell r="I311">
            <v>4102982.5720189917</v>
          </cell>
        </row>
        <row r="312">
          <cell r="A312">
            <v>294</v>
          </cell>
          <cell r="C312">
            <v>4102982.5720189917</v>
          </cell>
          <cell r="D312">
            <v>72180.70750002694</v>
          </cell>
          <cell r="E312">
            <v>0</v>
          </cell>
          <cell r="F312">
            <v>72180.70750002694</v>
          </cell>
          <cell r="G312">
            <v>51734.177682798967</v>
          </cell>
          <cell r="H312">
            <v>20446.529817227976</v>
          </cell>
          <cell r="I312">
            <v>4051248.3943361929</v>
          </cell>
        </row>
        <row r="313">
          <cell r="A313">
            <v>295</v>
          </cell>
          <cell r="C313">
            <v>4051248.3943361929</v>
          </cell>
          <cell r="D313">
            <v>72180.70750002694</v>
          </cell>
          <cell r="E313">
            <v>0</v>
          </cell>
          <cell r="F313">
            <v>72180.70750002694</v>
          </cell>
          <cell r="G313">
            <v>51991.986334918241</v>
          </cell>
          <cell r="H313">
            <v>20188.721165108695</v>
          </cell>
          <cell r="I313">
            <v>3999256.4080012748</v>
          </cell>
        </row>
        <row r="314">
          <cell r="A314">
            <v>296</v>
          </cell>
          <cell r="C314">
            <v>3999256.4080012748</v>
          </cell>
          <cell r="D314">
            <v>72180.70750002694</v>
          </cell>
          <cell r="E314">
            <v>0</v>
          </cell>
          <cell r="F314">
            <v>72180.70750002694</v>
          </cell>
          <cell r="G314">
            <v>52251.079733487255</v>
          </cell>
          <cell r="H314">
            <v>19929.627766539685</v>
          </cell>
          <cell r="I314">
            <v>3947005.3282677876</v>
          </cell>
        </row>
        <row r="315">
          <cell r="A315">
            <v>297</v>
          </cell>
          <cell r="C315">
            <v>3947005.3282677876</v>
          </cell>
          <cell r="D315">
            <v>72180.70750002694</v>
          </cell>
          <cell r="E315">
            <v>0</v>
          </cell>
          <cell r="F315">
            <v>72180.70750002694</v>
          </cell>
          <cell r="G315">
            <v>52511.4642808258</v>
          </cell>
          <cell r="H315">
            <v>19669.24321920114</v>
          </cell>
          <cell r="I315">
            <v>3894493.863986962</v>
          </cell>
        </row>
        <row r="316">
          <cell r="A316">
            <v>298</v>
          </cell>
          <cell r="C316">
            <v>3894493.863986962</v>
          </cell>
          <cell r="D316">
            <v>72180.70750002694</v>
          </cell>
          <cell r="E316">
            <v>0</v>
          </cell>
          <cell r="F316">
            <v>72180.70750002694</v>
          </cell>
          <cell r="G316">
            <v>52773.146411158581</v>
          </cell>
          <cell r="H316">
            <v>19407.561088868362</v>
          </cell>
          <cell r="I316">
            <v>3841720.7175758034</v>
          </cell>
        </row>
        <row r="317">
          <cell r="A317">
            <v>299</v>
          </cell>
          <cell r="C317">
            <v>3841720.7175758034</v>
          </cell>
          <cell r="D317">
            <v>72180.70750002694</v>
          </cell>
          <cell r="E317">
            <v>0</v>
          </cell>
          <cell r="F317">
            <v>72180.70750002694</v>
          </cell>
          <cell r="G317">
            <v>53036.132590774185</v>
          </cell>
          <cell r="H317">
            <v>19144.574909252751</v>
          </cell>
          <cell r="I317">
            <v>3788684.5849850294</v>
          </cell>
        </row>
        <row r="318">
          <cell r="A318">
            <v>300</v>
          </cell>
          <cell r="C318">
            <v>3788684.5849850294</v>
          </cell>
          <cell r="D318">
            <v>72180.70750002694</v>
          </cell>
          <cell r="E318">
            <v>0</v>
          </cell>
          <cell r="F318">
            <v>72180.70750002694</v>
          </cell>
          <cell r="G318">
            <v>53300.429318184877</v>
          </cell>
          <cell r="H318">
            <v>18880.278181842063</v>
          </cell>
          <cell r="I318">
            <v>3735384.1556668445</v>
          </cell>
        </row>
        <row r="319">
          <cell r="A319">
            <v>301</v>
          </cell>
          <cell r="C319">
            <v>3735384.1556668445</v>
          </cell>
          <cell r="D319">
            <v>72180.70750002694</v>
          </cell>
          <cell r="E319">
            <v>0</v>
          </cell>
          <cell r="F319">
            <v>72180.70750002694</v>
          </cell>
          <cell r="G319">
            <v>53566.043124287171</v>
          </cell>
          <cell r="H319">
            <v>18614.664375739772</v>
          </cell>
          <cell r="I319">
            <v>3681818.1125425571</v>
          </cell>
        </row>
        <row r="320">
          <cell r="A320">
            <v>302</v>
          </cell>
          <cell r="C320">
            <v>3681818.1125425571</v>
          </cell>
          <cell r="D320">
            <v>72180.70750002694</v>
          </cell>
          <cell r="E320">
            <v>0</v>
          </cell>
          <cell r="F320">
            <v>72180.70750002694</v>
          </cell>
          <cell r="G320">
            <v>53832.9805725232</v>
          </cell>
          <cell r="H320">
            <v>18347.726927503743</v>
          </cell>
          <cell r="I320">
            <v>3627985.131970034</v>
          </cell>
        </row>
        <row r="321">
          <cell r="A321">
            <v>303</v>
          </cell>
          <cell r="C321">
            <v>3627985.131970034</v>
          </cell>
          <cell r="D321">
            <v>72180.70750002694</v>
          </cell>
          <cell r="E321">
            <v>0</v>
          </cell>
          <cell r="F321">
            <v>72180.70750002694</v>
          </cell>
          <cell r="G321">
            <v>54101.248259042943</v>
          </cell>
          <cell r="H321">
            <v>18079.459240984001</v>
          </cell>
          <cell r="I321">
            <v>3573883.8837109911</v>
          </cell>
        </row>
        <row r="322">
          <cell r="A322">
            <v>304</v>
          </cell>
          <cell r="C322">
            <v>3573883.8837109911</v>
          </cell>
          <cell r="D322">
            <v>72180.70750002694</v>
          </cell>
          <cell r="E322">
            <v>0</v>
          </cell>
          <cell r="F322">
            <v>72180.70750002694</v>
          </cell>
          <cell r="G322">
            <v>54370.852812867168</v>
          </cell>
          <cell r="H322">
            <v>17809.854687159772</v>
          </cell>
          <cell r="I322">
            <v>3519513.030898124</v>
          </cell>
        </row>
        <row r="323">
          <cell r="A323">
            <v>305</v>
          </cell>
          <cell r="C323">
            <v>3519513.030898124</v>
          </cell>
          <cell r="D323">
            <v>72180.70750002694</v>
          </cell>
          <cell r="E323">
            <v>0</v>
          </cell>
          <cell r="F323">
            <v>72180.70750002694</v>
          </cell>
          <cell r="G323">
            <v>54641.800896051289</v>
          </cell>
          <cell r="H323">
            <v>17538.906603975651</v>
          </cell>
          <cell r="I323">
            <v>3464871.2300020726</v>
          </cell>
        </row>
        <row r="324">
          <cell r="A324">
            <v>306</v>
          </cell>
          <cell r="C324">
            <v>3464871.2300020726</v>
          </cell>
          <cell r="D324">
            <v>72180.70750002694</v>
          </cell>
          <cell r="E324">
            <v>0</v>
          </cell>
          <cell r="F324">
            <v>72180.70750002694</v>
          </cell>
          <cell r="G324">
            <v>54914.099203849939</v>
          </cell>
          <cell r="H324">
            <v>17266.608296176997</v>
          </cell>
          <cell r="I324">
            <v>3409957.1307982225</v>
          </cell>
        </row>
        <row r="325">
          <cell r="A325">
            <v>307</v>
          </cell>
          <cell r="C325">
            <v>3409957.1307982225</v>
          </cell>
          <cell r="D325">
            <v>72180.70750002694</v>
          </cell>
          <cell r="E325">
            <v>0</v>
          </cell>
          <cell r="F325">
            <v>72180.70750002694</v>
          </cell>
          <cell r="G325">
            <v>55187.75446488247</v>
          </cell>
          <cell r="H325">
            <v>16992.953035144474</v>
          </cell>
          <cell r="I325">
            <v>3354769.3763333401</v>
          </cell>
        </row>
        <row r="326">
          <cell r="A326">
            <v>308</v>
          </cell>
          <cell r="C326">
            <v>3354769.3763333401</v>
          </cell>
          <cell r="D326">
            <v>72180.70750002694</v>
          </cell>
          <cell r="E326">
            <v>0</v>
          </cell>
          <cell r="F326">
            <v>72180.70750002694</v>
          </cell>
          <cell r="G326">
            <v>55462.773441299127</v>
          </cell>
          <cell r="H326">
            <v>16717.934058727809</v>
          </cell>
          <cell r="I326">
            <v>3299306.6028920407</v>
          </cell>
        </row>
        <row r="327">
          <cell r="A327">
            <v>309</v>
          </cell>
          <cell r="C327">
            <v>3299306.6028920407</v>
          </cell>
          <cell r="D327">
            <v>72180.70750002694</v>
          </cell>
          <cell r="E327">
            <v>0</v>
          </cell>
          <cell r="F327">
            <v>72180.70750002694</v>
          </cell>
          <cell r="G327">
            <v>55739.162928948266</v>
          </cell>
          <cell r="H327">
            <v>16441.54457107867</v>
          </cell>
          <cell r="I327">
            <v>3243567.4399630926</v>
          </cell>
        </row>
        <row r="328">
          <cell r="A328">
            <v>310</v>
          </cell>
          <cell r="C328">
            <v>3243567.4399630926</v>
          </cell>
          <cell r="D328">
            <v>72180.70750002694</v>
          </cell>
          <cell r="E328">
            <v>0</v>
          </cell>
          <cell r="F328">
            <v>72180.70750002694</v>
          </cell>
          <cell r="G328">
            <v>56016.929757544196</v>
          </cell>
          <cell r="H328">
            <v>16163.777742482744</v>
          </cell>
          <cell r="I328">
            <v>3187550.5102055483</v>
          </cell>
        </row>
        <row r="329">
          <cell r="A329">
            <v>311</v>
          </cell>
          <cell r="C329">
            <v>3187550.5102055483</v>
          </cell>
          <cell r="D329">
            <v>72180.70750002694</v>
          </cell>
          <cell r="E329">
            <v>0</v>
          </cell>
          <cell r="F329">
            <v>72180.70750002694</v>
          </cell>
          <cell r="G329">
            <v>56296.080790835957</v>
          </cell>
          <cell r="H329">
            <v>15884.626709190981</v>
          </cell>
          <cell r="I329">
            <v>3131254.4294147124</v>
          </cell>
        </row>
        <row r="330">
          <cell r="A330">
            <v>312</v>
          </cell>
          <cell r="C330">
            <v>3131254.4294147124</v>
          </cell>
          <cell r="D330">
            <v>72180.70750002694</v>
          </cell>
          <cell r="E330">
            <v>0</v>
          </cell>
          <cell r="F330">
            <v>72180.70750002694</v>
          </cell>
          <cell r="G330">
            <v>56576.62292677696</v>
          </cell>
          <cell r="H330">
            <v>15604.084573249982</v>
          </cell>
          <cell r="I330">
            <v>3074677.8064879356</v>
          </cell>
        </row>
        <row r="331">
          <cell r="A331">
            <v>313</v>
          </cell>
          <cell r="C331">
            <v>3074677.8064879356</v>
          </cell>
          <cell r="D331">
            <v>72180.70750002694</v>
          </cell>
          <cell r="E331">
            <v>0</v>
          </cell>
          <cell r="F331">
            <v>72180.70750002694</v>
          </cell>
          <cell r="G331">
            <v>56858.563097695391</v>
          </cell>
          <cell r="H331">
            <v>15322.144402331547</v>
          </cell>
          <cell r="I331">
            <v>3017819.2433902402</v>
          </cell>
        </row>
        <row r="332">
          <cell r="A332">
            <v>314</v>
          </cell>
          <cell r="C332">
            <v>3017819.2433902402</v>
          </cell>
          <cell r="D332">
            <v>72180.70750002694</v>
          </cell>
          <cell r="E332">
            <v>0</v>
          </cell>
          <cell r="F332">
            <v>72180.70750002694</v>
          </cell>
          <cell r="G332">
            <v>57141.908270465574</v>
          </cell>
          <cell r="H332">
            <v>15038.799229561364</v>
          </cell>
          <cell r="I332">
            <v>2960677.3351197746</v>
          </cell>
        </row>
        <row r="333">
          <cell r="A333">
            <v>315</v>
          </cell>
          <cell r="C333">
            <v>2960677.3351197746</v>
          </cell>
          <cell r="D333">
            <v>72180.70750002694</v>
          </cell>
          <cell r="E333">
            <v>0</v>
          </cell>
          <cell r="F333">
            <v>72180.70750002694</v>
          </cell>
          <cell r="G333">
            <v>57426.665446680061</v>
          </cell>
          <cell r="H333">
            <v>14754.042053346877</v>
          </cell>
          <cell r="I333">
            <v>2903250.6696730945</v>
          </cell>
        </row>
        <row r="334">
          <cell r="A334">
            <v>316</v>
          </cell>
          <cell r="C334">
            <v>2903250.6696730945</v>
          </cell>
          <cell r="D334">
            <v>72180.70750002694</v>
          </cell>
          <cell r="E334">
            <v>0</v>
          </cell>
          <cell r="F334">
            <v>72180.70750002694</v>
          </cell>
          <cell r="G334">
            <v>57712.841662822684</v>
          </cell>
          <cell r="H334">
            <v>14467.865837204254</v>
          </cell>
          <cell r="I334">
            <v>2845537.8280102718</v>
          </cell>
        </row>
        <row r="335">
          <cell r="A335">
            <v>317</v>
          </cell>
          <cell r="C335">
            <v>2845537.8280102718</v>
          </cell>
          <cell r="D335">
            <v>72180.70750002694</v>
          </cell>
          <cell r="E335">
            <v>0</v>
          </cell>
          <cell r="F335">
            <v>72180.70750002694</v>
          </cell>
          <cell r="G335">
            <v>58000.443990442422</v>
          </cell>
          <cell r="H335">
            <v>14180.26350958452</v>
          </cell>
          <cell r="I335">
            <v>2787537.3840198293</v>
          </cell>
        </row>
        <row r="336">
          <cell r="A336">
            <v>318</v>
          </cell>
          <cell r="C336">
            <v>2787537.3840198293</v>
          </cell>
          <cell r="D336">
            <v>72180.70750002694</v>
          </cell>
          <cell r="E336">
            <v>0</v>
          </cell>
          <cell r="F336">
            <v>72180.70750002694</v>
          </cell>
          <cell r="G336">
            <v>58289.479536328123</v>
          </cell>
          <cell r="H336">
            <v>13891.227963698817</v>
          </cell>
          <cell r="I336">
            <v>2729247.9044835013</v>
          </cell>
        </row>
        <row r="337">
          <cell r="A337">
            <v>319</v>
          </cell>
          <cell r="C337">
            <v>2729247.9044835013</v>
          </cell>
          <cell r="D337">
            <v>72180.70750002694</v>
          </cell>
          <cell r="E337">
            <v>0</v>
          </cell>
          <cell r="F337">
            <v>72180.70750002694</v>
          </cell>
          <cell r="G337">
            <v>58579.955442684157</v>
          </cell>
          <cell r="H337">
            <v>13600.752057342781</v>
          </cell>
          <cell r="I337">
            <v>2670667.9490408171</v>
          </cell>
        </row>
        <row r="338">
          <cell r="A338">
            <v>320</v>
          </cell>
          <cell r="C338">
            <v>2670667.9490408171</v>
          </cell>
          <cell r="D338">
            <v>72180.70750002694</v>
          </cell>
          <cell r="E338">
            <v>0</v>
          </cell>
          <cell r="F338">
            <v>72180.70750002694</v>
          </cell>
          <cell r="G338">
            <v>58871.87888730687</v>
          </cell>
          <cell r="H338">
            <v>13308.828612720072</v>
          </cell>
          <cell r="I338">
            <v>2611796.0701535102</v>
          </cell>
        </row>
        <row r="339">
          <cell r="A339">
            <v>321</v>
          </cell>
          <cell r="C339">
            <v>2611796.0701535102</v>
          </cell>
          <cell r="D339">
            <v>72180.70750002694</v>
          </cell>
          <cell r="E339">
            <v>0</v>
          </cell>
          <cell r="F339">
            <v>72180.70750002694</v>
          </cell>
          <cell r="G339">
            <v>59165.25708376195</v>
          </cell>
          <cell r="H339">
            <v>13015.450416264992</v>
          </cell>
          <cell r="I339">
            <v>2552630.8130697482</v>
          </cell>
        </row>
        <row r="340">
          <cell r="A340">
            <v>322</v>
          </cell>
          <cell r="C340">
            <v>2552630.8130697482</v>
          </cell>
          <cell r="D340">
            <v>72180.70750002694</v>
          </cell>
          <cell r="E340">
            <v>0</v>
          </cell>
          <cell r="F340">
            <v>72180.70750002694</v>
          </cell>
          <cell r="G340">
            <v>59460.097281562696</v>
          </cell>
          <cell r="H340">
            <v>12720.610218464244</v>
          </cell>
          <cell r="I340">
            <v>2493170.7157881856</v>
          </cell>
        </row>
        <row r="341">
          <cell r="A341">
            <v>323</v>
          </cell>
          <cell r="C341">
            <v>2493170.7157881856</v>
          </cell>
          <cell r="D341">
            <v>72180.70750002694</v>
          </cell>
          <cell r="E341">
            <v>0</v>
          </cell>
          <cell r="F341">
            <v>72180.70750002694</v>
          </cell>
          <cell r="G341">
            <v>59756.406766349151</v>
          </cell>
          <cell r="H341">
            <v>12424.30073367779</v>
          </cell>
          <cell r="I341">
            <v>2433414.3090218366</v>
          </cell>
        </row>
        <row r="342">
          <cell r="A342">
            <v>324</v>
          </cell>
          <cell r="C342">
            <v>2433414.3090218366</v>
          </cell>
          <cell r="D342">
            <v>72180.70750002694</v>
          </cell>
          <cell r="E342">
            <v>0</v>
          </cell>
          <cell r="F342">
            <v>72180.70750002694</v>
          </cell>
          <cell r="G342">
            <v>60054.19286006812</v>
          </cell>
          <cell r="H342">
            <v>12126.514639958819</v>
          </cell>
          <cell r="I342">
            <v>2373360.1161617683</v>
          </cell>
        </row>
        <row r="343">
          <cell r="A343">
            <v>325</v>
          </cell>
          <cell r="C343">
            <v>2373360.1161617683</v>
          </cell>
          <cell r="D343">
            <v>72180.70750002694</v>
          </cell>
          <cell r="E343">
            <v>0</v>
          </cell>
          <cell r="F343">
            <v>72180.70750002694</v>
          </cell>
          <cell r="G343">
            <v>60353.462921154125</v>
          </cell>
          <cell r="H343">
            <v>11827.244578872813</v>
          </cell>
          <cell r="I343">
            <v>2313006.6532406141</v>
          </cell>
        </row>
        <row r="344">
          <cell r="A344">
            <v>326</v>
          </cell>
          <cell r="C344">
            <v>2313006.6532406141</v>
          </cell>
          <cell r="D344">
            <v>72180.70750002694</v>
          </cell>
          <cell r="E344">
            <v>0</v>
          </cell>
          <cell r="F344">
            <v>72180.70750002694</v>
          </cell>
          <cell r="G344">
            <v>60654.224344711212</v>
          </cell>
          <cell r="H344">
            <v>11526.483155315727</v>
          </cell>
          <cell r="I344">
            <v>2252352.4288959028</v>
          </cell>
        </row>
        <row r="345">
          <cell r="A345">
            <v>327</v>
          </cell>
          <cell r="C345">
            <v>2252352.4288959028</v>
          </cell>
          <cell r="D345">
            <v>72180.70750002694</v>
          </cell>
          <cell r="E345">
            <v>0</v>
          </cell>
          <cell r="F345">
            <v>72180.70750002694</v>
          </cell>
          <cell r="G345">
            <v>60956.484562695689</v>
          </cell>
          <cell r="H345">
            <v>11224.222937331249</v>
          </cell>
          <cell r="I345">
            <v>2191395.9443332073</v>
          </cell>
        </row>
        <row r="346">
          <cell r="A346">
            <v>328</v>
          </cell>
          <cell r="C346">
            <v>2191395.9443332073</v>
          </cell>
          <cell r="D346">
            <v>72180.70750002694</v>
          </cell>
          <cell r="E346">
            <v>0</v>
          </cell>
          <cell r="F346">
            <v>72180.70750002694</v>
          </cell>
          <cell r="G346">
            <v>61260.251044099787</v>
          </cell>
          <cell r="H346">
            <v>10920.456455927149</v>
          </cell>
          <cell r="I346">
            <v>2130135.6932891076</v>
          </cell>
        </row>
        <row r="347">
          <cell r="A347">
            <v>329</v>
          </cell>
          <cell r="C347">
            <v>2130135.6932891076</v>
          </cell>
          <cell r="D347">
            <v>72180.70750002694</v>
          </cell>
          <cell r="E347">
            <v>0</v>
          </cell>
          <cell r="F347">
            <v>72180.70750002694</v>
          </cell>
          <cell r="G347">
            <v>61565.531295136221</v>
          </cell>
          <cell r="H347">
            <v>10615.17620489072</v>
          </cell>
          <cell r="I347">
            <v>2068570.1619939713</v>
          </cell>
        </row>
        <row r="348">
          <cell r="A348">
            <v>330</v>
          </cell>
          <cell r="C348">
            <v>2068570.1619939713</v>
          </cell>
          <cell r="D348">
            <v>72180.70750002694</v>
          </cell>
          <cell r="E348">
            <v>0</v>
          </cell>
          <cell r="F348">
            <v>72180.70750002694</v>
          </cell>
          <cell r="G348">
            <v>61872.332859423652</v>
          </cell>
          <cell r="H348">
            <v>10308.37464060329</v>
          </cell>
          <cell r="I348">
            <v>2006697.8291345476</v>
          </cell>
        </row>
        <row r="349">
          <cell r="A349">
            <v>331</v>
          </cell>
          <cell r="C349">
            <v>2006697.8291345476</v>
          </cell>
          <cell r="D349">
            <v>72180.70750002694</v>
          </cell>
          <cell r="E349">
            <v>0</v>
          </cell>
          <cell r="F349">
            <v>72180.70750002694</v>
          </cell>
          <cell r="G349">
            <v>62180.663318173109</v>
          </cell>
          <cell r="H349">
            <v>10000.044181853829</v>
          </cell>
          <cell r="I349">
            <v>1944517.1658163746</v>
          </cell>
        </row>
        <row r="350">
          <cell r="A350">
            <v>332</v>
          </cell>
          <cell r="C350">
            <v>1944517.1658163746</v>
          </cell>
          <cell r="D350">
            <v>72180.70750002694</v>
          </cell>
          <cell r="E350">
            <v>0</v>
          </cell>
          <cell r="F350">
            <v>72180.70750002694</v>
          </cell>
          <cell r="G350">
            <v>62490.53029037534</v>
          </cell>
          <cell r="H350">
            <v>9690.1772096515997</v>
          </cell>
          <cell r="I350">
            <v>1882026.6355259994</v>
          </cell>
        </row>
        <row r="351">
          <cell r="A351">
            <v>333</v>
          </cell>
          <cell r="C351">
            <v>1882026.6355259994</v>
          </cell>
          <cell r="D351">
            <v>72180.70750002694</v>
          </cell>
          <cell r="E351">
            <v>0</v>
          </cell>
          <cell r="F351">
            <v>72180.70750002694</v>
          </cell>
          <cell r="G351">
            <v>62801.941432989042</v>
          </cell>
          <cell r="H351">
            <v>9378.7660670378955</v>
          </cell>
          <cell r="I351">
            <v>1819224.6940930104</v>
          </cell>
        </row>
        <row r="352">
          <cell r="A352">
            <v>334</v>
          </cell>
          <cell r="C352">
            <v>1819224.6940930104</v>
          </cell>
          <cell r="D352">
            <v>72180.70750002694</v>
          </cell>
          <cell r="E352">
            <v>0</v>
          </cell>
          <cell r="F352">
            <v>72180.70750002694</v>
          </cell>
          <cell r="G352">
            <v>63114.904441130107</v>
          </cell>
          <cell r="H352">
            <v>9065.803058896834</v>
          </cell>
          <cell r="I352">
            <v>1756109.7896518803</v>
          </cell>
        </row>
        <row r="353">
          <cell r="A353">
            <v>335</v>
          </cell>
          <cell r="C353">
            <v>1756109.7896518803</v>
          </cell>
          <cell r="D353">
            <v>72180.70750002694</v>
          </cell>
          <cell r="E353">
            <v>0</v>
          </cell>
          <cell r="F353">
            <v>72180.70750002694</v>
          </cell>
          <cell r="G353">
            <v>63429.427048261736</v>
          </cell>
          <cell r="H353">
            <v>8751.2804517652021</v>
          </cell>
          <cell r="I353">
            <v>1692680.3626036185</v>
          </cell>
        </row>
        <row r="354">
          <cell r="A354">
            <v>336</v>
          </cell>
          <cell r="C354">
            <v>1692680.3626036185</v>
          </cell>
          <cell r="D354">
            <v>72180.70750002694</v>
          </cell>
          <cell r="E354">
            <v>0</v>
          </cell>
          <cell r="F354">
            <v>72180.70750002694</v>
          </cell>
          <cell r="G354">
            <v>63745.517026385576</v>
          </cell>
          <cell r="H354">
            <v>8435.1904736413653</v>
          </cell>
          <cell r="I354">
            <v>1628934.845577233</v>
          </cell>
        </row>
        <row r="355">
          <cell r="A355">
            <v>337</v>
          </cell>
          <cell r="C355">
            <v>1628934.845577233</v>
          </cell>
          <cell r="D355">
            <v>72180.70750002694</v>
          </cell>
          <cell r="E355">
            <v>0</v>
          </cell>
          <cell r="F355">
            <v>72180.70750002694</v>
          </cell>
          <cell r="G355">
            <v>64063.182186233731</v>
          </cell>
          <cell r="H355">
            <v>8117.5253137932114</v>
          </cell>
          <cell r="I355">
            <v>1564871.6633909992</v>
          </cell>
        </row>
        <row r="356">
          <cell r="A356">
            <v>338</v>
          </cell>
          <cell r="C356">
            <v>1564871.6633909992</v>
          </cell>
          <cell r="D356">
            <v>72180.70750002694</v>
          </cell>
          <cell r="E356">
            <v>0</v>
          </cell>
          <cell r="F356">
            <v>72180.70750002694</v>
          </cell>
          <cell r="G356">
            <v>64382.430377461795</v>
          </cell>
          <cell r="H356">
            <v>7798.2771225651459</v>
          </cell>
          <cell r="I356">
            <v>1500489.2330135375</v>
          </cell>
        </row>
        <row r="357">
          <cell r="A357">
            <v>339</v>
          </cell>
          <cell r="C357">
            <v>1500489.2330135375</v>
          </cell>
          <cell r="D357">
            <v>72180.70750002694</v>
          </cell>
          <cell r="E357">
            <v>0</v>
          </cell>
          <cell r="F357">
            <v>72180.70750002694</v>
          </cell>
          <cell r="G357">
            <v>64703.269488842809</v>
          </cell>
          <cell r="H357">
            <v>7477.4380111841283</v>
          </cell>
          <cell r="I357">
            <v>1435785.9635246946</v>
          </cell>
        </row>
        <row r="358">
          <cell r="A358">
            <v>340</v>
          </cell>
          <cell r="C358">
            <v>1435785.9635246946</v>
          </cell>
          <cell r="D358">
            <v>72180.70750002694</v>
          </cell>
          <cell r="E358">
            <v>0</v>
          </cell>
          <cell r="F358">
            <v>72180.70750002694</v>
          </cell>
          <cell r="G358">
            <v>65025.707448462214</v>
          </cell>
          <cell r="H358">
            <v>7155.0000515647271</v>
          </cell>
          <cell r="I358">
            <v>1370760.2560762323</v>
          </cell>
        </row>
        <row r="359">
          <cell r="A359">
            <v>341</v>
          </cell>
          <cell r="C359">
            <v>1370760.2560762323</v>
          </cell>
          <cell r="D359">
            <v>72180.70750002694</v>
          </cell>
          <cell r="E359">
            <v>0</v>
          </cell>
          <cell r="F359">
            <v>72180.70750002694</v>
          </cell>
          <cell r="G359">
            <v>65349.752223913718</v>
          </cell>
          <cell r="H359">
            <v>6830.9552761132245</v>
          </cell>
          <cell r="I359">
            <v>1305410.5038523185</v>
          </cell>
        </row>
        <row r="360">
          <cell r="A360">
            <v>342</v>
          </cell>
          <cell r="C360">
            <v>1305410.5038523185</v>
          </cell>
          <cell r="D360">
            <v>72180.70750002694</v>
          </cell>
          <cell r="E360">
            <v>0</v>
          </cell>
          <cell r="F360">
            <v>72180.70750002694</v>
          </cell>
          <cell r="G360">
            <v>65675.411822496215</v>
          </cell>
          <cell r="H360">
            <v>6505.2956775307202</v>
          </cell>
          <cell r="I360">
            <v>1239735.0920298223</v>
          </cell>
        </row>
        <row r="361">
          <cell r="A361">
            <v>343</v>
          </cell>
          <cell r="C361">
            <v>1239735.0920298223</v>
          </cell>
          <cell r="D361">
            <v>72180.70750002694</v>
          </cell>
          <cell r="E361">
            <v>0</v>
          </cell>
          <cell r="F361">
            <v>72180.70750002694</v>
          </cell>
          <cell r="G361">
            <v>66002.694291411666</v>
          </cell>
          <cell r="H361">
            <v>6178.0132086152807</v>
          </cell>
          <cell r="I361">
            <v>1173732.3977384106</v>
          </cell>
        </row>
        <row r="362">
          <cell r="A362">
            <v>344</v>
          </cell>
          <cell r="C362">
            <v>1173732.3977384106</v>
          </cell>
          <cell r="D362">
            <v>72180.70750002694</v>
          </cell>
          <cell r="E362">
            <v>0</v>
          </cell>
          <cell r="F362">
            <v>72180.70750002694</v>
          </cell>
          <cell r="G362">
            <v>66331.607717963867</v>
          </cell>
          <cell r="H362">
            <v>5849.0997820630801</v>
          </cell>
          <cell r="I362">
            <v>1107400.7900204468</v>
          </cell>
        </row>
        <row r="363">
          <cell r="A363">
            <v>345</v>
          </cell>
          <cell r="C363">
            <v>1107400.7900204468</v>
          </cell>
          <cell r="D363">
            <v>72180.70750002694</v>
          </cell>
          <cell r="E363">
            <v>0</v>
          </cell>
          <cell r="F363">
            <v>72180.70750002694</v>
          </cell>
          <cell r="G363">
            <v>66662.160229758374</v>
          </cell>
          <cell r="H363">
            <v>5518.5472702685593</v>
          </cell>
          <cell r="I363">
            <v>1040738.6297906884</v>
          </cell>
        </row>
        <row r="364">
          <cell r="A364">
            <v>346</v>
          </cell>
          <cell r="C364">
            <v>1040738.6297906884</v>
          </cell>
          <cell r="D364">
            <v>72180.70750002694</v>
          </cell>
          <cell r="E364">
            <v>0</v>
          </cell>
          <cell r="F364">
            <v>72180.70750002694</v>
          </cell>
          <cell r="G364">
            <v>66994.359994903338</v>
          </cell>
          <cell r="H364">
            <v>5186.3475051235973</v>
          </cell>
          <cell r="I364">
            <v>973744.26979578508</v>
          </cell>
        </row>
        <row r="365">
          <cell r="A365">
            <v>347</v>
          </cell>
          <cell r="C365">
            <v>973744.26979578508</v>
          </cell>
          <cell r="D365">
            <v>72180.70750002694</v>
          </cell>
          <cell r="E365">
            <v>0</v>
          </cell>
          <cell r="F365">
            <v>72180.70750002694</v>
          </cell>
          <cell r="G365">
            <v>67328.215222211278</v>
          </cell>
          <cell r="H365">
            <v>4852.4922778156624</v>
          </cell>
          <cell r="I365">
            <v>906416.05457357375</v>
          </cell>
        </row>
        <row r="366">
          <cell r="A366">
            <v>348</v>
          </cell>
          <cell r="C366">
            <v>906416.05457357375</v>
          </cell>
          <cell r="D366">
            <v>72180.70750002694</v>
          </cell>
          <cell r="E366">
            <v>0</v>
          </cell>
          <cell r="F366">
            <v>72180.70750002694</v>
          </cell>
          <cell r="G366">
            <v>67663.734161401968</v>
          </cell>
          <cell r="H366">
            <v>4516.9733386249763</v>
          </cell>
          <cell r="I366">
            <v>838752.32041217177</v>
          </cell>
        </row>
        <row r="367">
          <cell r="A367">
            <v>349</v>
          </cell>
          <cell r="C367">
            <v>838752.32041217177</v>
          </cell>
          <cell r="D367">
            <v>72180.70750002694</v>
          </cell>
          <cell r="E367">
            <v>0</v>
          </cell>
          <cell r="F367">
            <v>72180.70750002694</v>
          </cell>
          <cell r="G367">
            <v>68000.92510330629</v>
          </cell>
          <cell r="H367">
            <v>4179.7823967206559</v>
          </cell>
          <cell r="I367">
            <v>770751.39530886547</v>
          </cell>
        </row>
        <row r="368">
          <cell r="A368">
            <v>350</v>
          </cell>
          <cell r="C368">
            <v>770751.39530886547</v>
          </cell>
          <cell r="D368">
            <v>72180.70750002694</v>
          </cell>
          <cell r="E368">
            <v>0</v>
          </cell>
          <cell r="F368">
            <v>72180.70750002694</v>
          </cell>
          <cell r="G368">
            <v>68339.7963800711</v>
          </cell>
          <cell r="H368">
            <v>3840.9111199558461</v>
          </cell>
          <cell r="I368">
            <v>702411.59892879438</v>
          </cell>
        </row>
        <row r="369">
          <cell r="A369">
            <v>351</v>
          </cell>
          <cell r="C369">
            <v>702411.59892879438</v>
          </cell>
          <cell r="D369">
            <v>72180.70750002694</v>
          </cell>
          <cell r="E369">
            <v>0</v>
          </cell>
          <cell r="F369">
            <v>72180.70750002694</v>
          </cell>
          <cell r="G369">
            <v>68680.356365365122</v>
          </cell>
          <cell r="H369">
            <v>3500.3511346618252</v>
          </cell>
          <cell r="I369">
            <v>633731.24256342929</v>
          </cell>
        </row>
        <row r="370">
          <cell r="A370">
            <v>352</v>
          </cell>
          <cell r="C370">
            <v>633731.24256342929</v>
          </cell>
          <cell r="D370">
            <v>72180.70750002694</v>
          </cell>
          <cell r="E370">
            <v>0</v>
          </cell>
          <cell r="F370">
            <v>72180.70750002694</v>
          </cell>
          <cell r="G370">
            <v>69022.613474585844</v>
          </cell>
          <cell r="H370">
            <v>3158.0940254410893</v>
          </cell>
          <cell r="I370">
            <v>564708.62908884347</v>
          </cell>
        </row>
        <row r="371">
          <cell r="A371">
            <v>353</v>
          </cell>
          <cell r="C371">
            <v>564708.62908884347</v>
          </cell>
          <cell r="D371">
            <v>72180.70750002694</v>
          </cell>
          <cell r="E371">
            <v>0</v>
          </cell>
          <cell r="F371">
            <v>72180.70750002694</v>
          </cell>
          <cell r="G371">
            <v>69366.576165067541</v>
          </cell>
          <cell r="H371">
            <v>2814.1313349594034</v>
          </cell>
          <cell r="I371">
            <v>495342.05292377592</v>
          </cell>
        </row>
        <row r="372">
          <cell r="A372">
            <v>354</v>
          </cell>
          <cell r="C372">
            <v>495342.05292377592</v>
          </cell>
          <cell r="D372">
            <v>72180.70750002694</v>
          </cell>
          <cell r="E372">
            <v>0</v>
          </cell>
          <cell r="F372">
            <v>72180.70750002694</v>
          </cell>
          <cell r="G372">
            <v>69712.252936290126</v>
          </cell>
          <cell r="H372">
            <v>2468.4545637368169</v>
          </cell>
          <cell r="I372">
            <v>425629.79998748581</v>
          </cell>
        </row>
        <row r="373">
          <cell r="A373">
            <v>355</v>
          </cell>
          <cell r="C373">
            <v>425629.79998748581</v>
          </cell>
          <cell r="D373">
            <v>72180.70750002694</v>
          </cell>
          <cell r="E373">
            <v>0</v>
          </cell>
          <cell r="F373">
            <v>72180.70750002694</v>
          </cell>
          <cell r="G373">
            <v>70059.652330089302</v>
          </cell>
          <cell r="H373">
            <v>2121.0551699376379</v>
          </cell>
          <cell r="I373">
            <v>355570.1476573965</v>
          </cell>
        </row>
        <row r="374">
          <cell r="A374">
            <v>356</v>
          </cell>
          <cell r="C374">
            <v>355570.1476573965</v>
          </cell>
          <cell r="D374">
            <v>72180.70750002694</v>
          </cell>
          <cell r="E374">
            <v>0</v>
          </cell>
          <cell r="F374">
            <v>72180.70750002694</v>
          </cell>
          <cell r="G374">
            <v>70408.782930867586</v>
          </cell>
          <cell r="H374">
            <v>1771.9245691593594</v>
          </cell>
          <cell r="I374">
            <v>285161.36472652893</v>
          </cell>
        </row>
        <row r="375">
          <cell r="A375">
            <v>357</v>
          </cell>
          <cell r="C375">
            <v>285161.36472652893</v>
          </cell>
          <cell r="D375">
            <v>72180.70750002694</v>
          </cell>
          <cell r="E375">
            <v>0</v>
          </cell>
          <cell r="F375">
            <v>72180.70750002694</v>
          </cell>
          <cell r="G375">
            <v>70759.6533658064</v>
          </cell>
          <cell r="H375">
            <v>1421.0541342205358</v>
          </cell>
          <cell r="I375">
            <v>214401.71136072255</v>
          </cell>
        </row>
        <row r="376">
          <cell r="A376">
            <v>358</v>
          </cell>
          <cell r="C376">
            <v>214401.71136072255</v>
          </cell>
          <cell r="D376">
            <v>72180.70750002694</v>
          </cell>
          <cell r="E376">
            <v>0</v>
          </cell>
          <cell r="F376">
            <v>72180.70750002694</v>
          </cell>
          <cell r="G376">
            <v>71112.272305079343</v>
          </cell>
          <cell r="H376">
            <v>1068.4351949476006</v>
          </cell>
          <cell r="I376">
            <v>143289.43905564322</v>
          </cell>
        </row>
        <row r="377">
          <cell r="A377">
            <v>359</v>
          </cell>
          <cell r="C377">
            <v>143289.43905564322</v>
          </cell>
          <cell r="D377">
            <v>72180.70750002694</v>
          </cell>
          <cell r="E377">
            <v>0</v>
          </cell>
          <cell r="F377">
            <v>72180.70750002694</v>
          </cell>
          <cell r="G377">
            <v>71466.64846206631</v>
          </cell>
          <cell r="H377">
            <v>714.05903796062205</v>
          </cell>
          <cell r="I377">
            <v>71822.790593576909</v>
          </cell>
        </row>
        <row r="378">
          <cell r="A378">
            <v>360</v>
          </cell>
          <cell r="C378">
            <v>71822.790593576909</v>
          </cell>
          <cell r="D378">
            <v>72180.70750002694</v>
          </cell>
          <cell r="E378">
            <v>0</v>
          </cell>
          <cell r="F378">
            <v>72180.70750002694</v>
          </cell>
          <cell r="G378">
            <v>71822.790593568949</v>
          </cell>
          <cell r="H378">
            <v>357.91690645799162</v>
          </cell>
          <cell r="I378">
            <v>7.9598976299166679E-9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(2)"/>
      <sheetName val="Data Entry"/>
      <sheetName val="Financial"/>
      <sheetName val="Rent Analysis"/>
      <sheetName val="Admin - Payroll - RE Taxes"/>
      <sheetName val="Improvements"/>
      <sheetName val="Closing Costs"/>
      <sheetName val="Sources &amp; Uses"/>
      <sheetName val="Sheet2"/>
      <sheetName val="Sponsor Cash Flows"/>
      <sheetName val="Misc. Calculations"/>
      <sheetName val="Loan Amortization"/>
    </sheetNames>
    <sheetDataSet>
      <sheetData sheetId="0">
        <row r="17">
          <cell r="K17">
            <v>9.2455960072698115E-2</v>
          </cell>
          <cell r="N17">
            <v>8.5128437457647324E-2</v>
          </cell>
          <cell r="Q17">
            <v>8.0803605872506692E-2</v>
          </cell>
          <cell r="T17">
            <v>0.03</v>
          </cell>
          <cell r="W17">
            <v>2.9999999999999919E-2</v>
          </cell>
        </row>
        <row r="85">
          <cell r="G85">
            <v>1893829.92</v>
          </cell>
          <cell r="J85">
            <v>2111717.9561365852</v>
          </cell>
          <cell r="M85">
            <v>2329955.3287523906</v>
          </cell>
          <cell r="P85">
            <v>2503373.7262786697</v>
          </cell>
          <cell r="S85">
            <v>2574238.1768683493</v>
          </cell>
          <cell r="V85">
            <v>2647186.1933637331</v>
          </cell>
        </row>
        <row r="105">
          <cell r="G105">
            <v>13530</v>
          </cell>
          <cell r="J105">
            <v>13935.9</v>
          </cell>
          <cell r="M105">
            <v>14353.977000000001</v>
          </cell>
          <cell r="P105">
            <v>14784.596310000001</v>
          </cell>
          <cell r="S105">
            <v>15228.134199300001</v>
          </cell>
          <cell r="V105">
            <v>15684.978225279001</v>
          </cell>
        </row>
        <row r="106">
          <cell r="G106">
            <v>36900</v>
          </cell>
          <cell r="J106">
            <v>38007</v>
          </cell>
          <cell r="M106">
            <v>39147.21</v>
          </cell>
          <cell r="P106">
            <v>40321.626300000004</v>
          </cell>
          <cell r="S106">
            <v>41531.275089000002</v>
          </cell>
          <cell r="V106">
            <v>42777.213341670002</v>
          </cell>
        </row>
        <row r="130">
          <cell r="G130">
            <v>729381.64559999993</v>
          </cell>
          <cell r="J130">
            <v>759101.51758751227</v>
          </cell>
          <cell r="M130">
            <v>790393.28398138168</v>
          </cell>
          <cell r="P130">
            <v>819798.66807232692</v>
          </cell>
          <cell r="S130">
            <v>844159.60624856921</v>
          </cell>
          <cell r="V130">
            <v>869249.04235143971</v>
          </cell>
        </row>
        <row r="132">
          <cell r="G132">
            <v>24600</v>
          </cell>
          <cell r="J132">
            <v>24600</v>
          </cell>
          <cell r="M132">
            <v>24600</v>
          </cell>
          <cell r="P132">
            <v>24600</v>
          </cell>
          <cell r="S132">
            <v>24600</v>
          </cell>
          <cell r="V132">
            <v>24600</v>
          </cell>
        </row>
        <row r="133">
          <cell r="G133">
            <v>1139848.2744</v>
          </cell>
          <cell r="J133">
            <v>1328016.4385490729</v>
          </cell>
          <cell r="M133">
            <v>1514962.0447710089</v>
          </cell>
          <cell r="P133">
            <v>1658975.0582063426</v>
          </cell>
          <cell r="S133">
            <v>1705478.5706197801</v>
          </cell>
          <cell r="V133">
            <v>1753337.1510122935</v>
          </cell>
        </row>
        <row r="134">
          <cell r="G134">
            <v>-713748</v>
          </cell>
          <cell r="J134">
            <v>-713748</v>
          </cell>
          <cell r="M134">
            <v>-713748</v>
          </cell>
          <cell r="P134">
            <v>-713748</v>
          </cell>
          <cell r="S134">
            <v>-863190.90331069822</v>
          </cell>
          <cell r="V134">
            <v>-863190.90331069822</v>
          </cell>
        </row>
        <row r="139">
          <cell r="G139">
            <v>229032.65152000004</v>
          </cell>
          <cell r="J139">
            <v>379567.1828392584</v>
          </cell>
          <cell r="M139">
            <v>529123.66781680717</v>
          </cell>
          <cell r="P139">
            <v>644334.07856507413</v>
          </cell>
          <cell r="S139">
            <v>561982.56584726553</v>
          </cell>
          <cell r="V139">
            <v>600269.43016127625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3">
          <cell r="J143">
            <v>0</v>
          </cell>
          <cell r="M143">
            <v>0</v>
          </cell>
          <cell r="P143">
            <v>0</v>
          </cell>
          <cell r="S143">
            <v>0</v>
          </cell>
          <cell r="V143">
            <v>0</v>
          </cell>
        </row>
      </sheetData>
      <sheetData sheetId="1">
        <row r="1">
          <cell r="B1" t="str">
            <v>Allaire on 41st</v>
          </cell>
        </row>
        <row r="11">
          <cell r="C11">
            <v>82</v>
          </cell>
        </row>
        <row r="12">
          <cell r="C12">
            <v>17200000</v>
          </cell>
        </row>
        <row r="17">
          <cell r="F17">
            <v>3</v>
          </cell>
        </row>
        <row r="20">
          <cell r="C20">
            <v>19170473</v>
          </cell>
        </row>
        <row r="24">
          <cell r="C24">
            <v>6.3200000000000006E-2</v>
          </cell>
        </row>
        <row r="25">
          <cell r="C25">
            <v>6.3200000000000006E-2</v>
          </cell>
        </row>
        <row r="31">
          <cell r="C31">
            <v>0.02</v>
          </cell>
        </row>
        <row r="32">
          <cell r="C32">
            <v>5.5E-2</v>
          </cell>
        </row>
        <row r="40">
          <cell r="C40">
            <v>0</v>
          </cell>
        </row>
        <row r="41">
          <cell r="C41">
            <v>0</v>
          </cell>
        </row>
      </sheetData>
      <sheetData sheetId="2"/>
      <sheetData sheetId="3">
        <row r="23">
          <cell r="G23">
            <v>1923144</v>
          </cell>
          <cell r="I23">
            <v>2004660</v>
          </cell>
          <cell r="M23">
            <v>2274900</v>
          </cell>
        </row>
        <row r="36">
          <cell r="M36">
            <v>2100950.1248780489</v>
          </cell>
        </row>
        <row r="37">
          <cell r="M37">
            <v>2279800.726185366</v>
          </cell>
        </row>
        <row r="38">
          <cell r="M38">
            <v>2464016.8455319027</v>
          </cell>
        </row>
        <row r="39">
          <cell r="M39">
            <v>2537937.3508978598</v>
          </cell>
        </row>
        <row r="40">
          <cell r="M40">
            <v>2614075.4714247957</v>
          </cell>
        </row>
      </sheetData>
      <sheetData sheetId="4">
        <row r="21">
          <cell r="H21">
            <v>242557</v>
          </cell>
        </row>
        <row r="22">
          <cell r="E22">
            <v>0</v>
          </cell>
        </row>
        <row r="42">
          <cell r="C42">
            <v>4352</v>
          </cell>
        </row>
      </sheetData>
      <sheetData sheetId="5"/>
      <sheetData sheetId="6"/>
      <sheetData sheetId="7">
        <row r="31">
          <cell r="C31">
            <v>6990473</v>
          </cell>
        </row>
      </sheetData>
      <sheetData sheetId="8"/>
      <sheetData sheetId="9"/>
      <sheetData sheetId="10">
        <row r="34">
          <cell r="C34">
            <v>12447961.255029369</v>
          </cell>
        </row>
        <row r="35">
          <cell r="C35">
            <v>6990473</v>
          </cell>
        </row>
        <row r="45">
          <cell r="D45">
            <v>379567.1828392584</v>
          </cell>
        </row>
        <row r="46">
          <cell r="D46">
            <v>529123.66781680717</v>
          </cell>
        </row>
        <row r="47">
          <cell r="D47">
            <v>644334.07856507413</v>
          </cell>
        </row>
        <row r="48">
          <cell r="D48">
            <v>561982.56584726553</v>
          </cell>
        </row>
        <row r="49">
          <cell r="D49">
            <v>600269.43016127625</v>
          </cell>
        </row>
        <row r="56">
          <cell r="D56">
            <v>0.23382581351101853</v>
          </cell>
        </row>
        <row r="59">
          <cell r="C59">
            <v>12180000</v>
          </cell>
        </row>
        <row r="63">
          <cell r="C63">
            <v>713748</v>
          </cell>
        </row>
        <row r="64">
          <cell r="C64">
            <v>863190.90331069822</v>
          </cell>
        </row>
        <row r="78">
          <cell r="C78">
            <v>0.18360578883211209</v>
          </cell>
        </row>
      </sheetData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Sheet &amp; IS"/>
      <sheetName val="Insurance Accrual"/>
      <sheetName val="Prop tax"/>
      <sheetName val="Fixed Assets"/>
      <sheetName val="Purchase"/>
      <sheetName val="Capitalized Loan Costs"/>
      <sheetName val="Members"/>
      <sheetName val="Debt Service"/>
      <sheetName val="Sheet6"/>
      <sheetName val="TB"/>
      <sheetName val="Bank Movements (Sorted) (2)"/>
      <sheetName val="Bank Movements (Sorted)"/>
      <sheetName val="Everbank"/>
      <sheetName val="Invoices - main"/>
      <sheetName val="Mngmt Fee"/>
      <sheetName val="Related Interest"/>
    </sheetNames>
    <sheetDataSet>
      <sheetData sheetId="0"/>
      <sheetData sheetId="1"/>
      <sheetData sheetId="2"/>
      <sheetData sheetId="3"/>
      <sheetData sheetId="4">
        <row r="58">
          <cell r="E58">
            <v>15950.665029069769</v>
          </cell>
        </row>
        <row r="59">
          <cell r="E59">
            <v>91945.857877325587</v>
          </cell>
        </row>
        <row r="60">
          <cell r="E60">
            <v>20039.481845058141</v>
          </cell>
        </row>
        <row r="61">
          <cell r="E61">
            <v>5893.9652485465122</v>
          </cell>
        </row>
      </sheetData>
      <sheetData sheetId="5"/>
      <sheetData sheetId="6"/>
      <sheetData sheetId="7"/>
      <sheetData sheetId="8"/>
      <sheetData sheetId="9"/>
      <sheetData sheetId="10">
        <row r="34">
          <cell r="E34">
            <v>45814</v>
          </cell>
          <cell r="H34">
            <v>-10221.09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Sheet &amp; IS"/>
      <sheetName val="Insurance Accrual"/>
      <sheetName val="Prop tax"/>
      <sheetName val="Fixed Assets"/>
      <sheetName val="Purchase"/>
      <sheetName val="Capitalized Loan Costs"/>
      <sheetName val="Members"/>
      <sheetName val="Debt Service"/>
      <sheetName val="Sheet6"/>
      <sheetName val="Balance Sheet &amp; IS (2)"/>
      <sheetName val="TB"/>
      <sheetName val="Movements Sorted Q3"/>
      <sheetName val="Bank Movements (Sorted) (2)"/>
      <sheetName val="Bank Movements (Sorted)"/>
      <sheetName val="Everbank Q3"/>
      <sheetName val="Everbank"/>
      <sheetName val="Invoices - main"/>
      <sheetName val="Mngmt Fee"/>
      <sheetName val="Related Inter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9">
          <cell r="H9">
            <v>-5694.85</v>
          </cell>
        </row>
        <row r="10">
          <cell r="H10">
            <v>-10309.629999999999</v>
          </cell>
        </row>
        <row r="13">
          <cell r="H13">
            <v>-787.95</v>
          </cell>
        </row>
        <row r="14">
          <cell r="H14">
            <v>-15825.46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s"/>
      <sheetName val="Analyzer"/>
      <sheetName val="BS &amp; IS (Combined)"/>
      <sheetName val="IS (Combined)"/>
      <sheetName val="CapEx"/>
      <sheetName val="Fund Exp"/>
      <sheetName val="Fixed Assets"/>
      <sheetName val="Cash Flow (Combined)"/>
      <sheetName val="TB Combined"/>
      <sheetName val="IS"/>
      <sheetName val="BS"/>
      <sheetName val="Cash Flow"/>
      <sheetName val="Balance Sheet &amp; IS"/>
      <sheetName val="Debt Servi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5">
          <cell r="H25">
            <v>-448013.01</v>
          </cell>
        </row>
        <row r="26">
          <cell r="H26">
            <v>-3933</v>
          </cell>
        </row>
        <row r="27">
          <cell r="H27">
            <v>954.85</v>
          </cell>
        </row>
        <row r="28">
          <cell r="H28">
            <v>-519.75</v>
          </cell>
        </row>
        <row r="29">
          <cell r="H29">
            <v>-1435.46</v>
          </cell>
        </row>
        <row r="30">
          <cell r="H30">
            <v>-113.4</v>
          </cell>
        </row>
        <row r="31">
          <cell r="H31">
            <v>-382.5</v>
          </cell>
        </row>
        <row r="32">
          <cell r="H32">
            <v>-2661.86</v>
          </cell>
        </row>
        <row r="33">
          <cell r="H33">
            <v>-30</v>
          </cell>
        </row>
        <row r="34">
          <cell r="H34">
            <v>-2250</v>
          </cell>
        </row>
        <row r="35">
          <cell r="H35">
            <v>-3770.55</v>
          </cell>
        </row>
        <row r="36">
          <cell r="H36">
            <v>-4154.7299999999996</v>
          </cell>
        </row>
        <row r="37">
          <cell r="H37">
            <v>-11881.92</v>
          </cell>
        </row>
        <row r="38">
          <cell r="H38">
            <v>3823.65</v>
          </cell>
        </row>
        <row r="39">
          <cell r="H39">
            <v>-7410</v>
          </cell>
        </row>
        <row r="40">
          <cell r="H40">
            <v>-272.32</v>
          </cell>
        </row>
        <row r="41">
          <cell r="H41">
            <v>-286.25</v>
          </cell>
        </row>
        <row r="42">
          <cell r="H42">
            <v>-1008.75</v>
          </cell>
        </row>
        <row r="43">
          <cell r="H43">
            <v>244.91</v>
          </cell>
        </row>
        <row r="44">
          <cell r="H44">
            <v>4439.29</v>
          </cell>
        </row>
        <row r="45">
          <cell r="H45">
            <v>680.35</v>
          </cell>
        </row>
        <row r="46">
          <cell r="H46">
            <v>270</v>
          </cell>
        </row>
        <row r="47">
          <cell r="H47">
            <v>1475.76</v>
          </cell>
        </row>
        <row r="48">
          <cell r="H48">
            <v>21.21</v>
          </cell>
        </row>
        <row r="49">
          <cell r="H49">
            <v>4353</v>
          </cell>
        </row>
        <row r="50">
          <cell r="H50">
            <v>756.48</v>
          </cell>
        </row>
        <row r="51">
          <cell r="H51">
            <v>3147.5</v>
          </cell>
        </row>
        <row r="52">
          <cell r="H52">
            <v>17546.05</v>
          </cell>
        </row>
        <row r="53">
          <cell r="H53">
            <v>1500</v>
          </cell>
        </row>
        <row r="54">
          <cell r="H54">
            <v>2691.96</v>
          </cell>
        </row>
        <row r="55">
          <cell r="H55">
            <v>8135.11</v>
          </cell>
        </row>
        <row r="56">
          <cell r="H56">
            <v>376</v>
          </cell>
        </row>
        <row r="57">
          <cell r="H57">
            <v>24201.54</v>
          </cell>
        </row>
        <row r="58">
          <cell r="H58">
            <v>341.33</v>
          </cell>
        </row>
        <row r="59">
          <cell r="H59">
            <v>4070</v>
          </cell>
        </row>
        <row r="60">
          <cell r="H60">
            <v>16128.26</v>
          </cell>
        </row>
        <row r="61">
          <cell r="H61">
            <v>9007.33</v>
          </cell>
        </row>
        <row r="62">
          <cell r="H62">
            <v>792</v>
          </cell>
        </row>
        <row r="63">
          <cell r="H63">
            <v>244.71</v>
          </cell>
        </row>
        <row r="64">
          <cell r="H64">
            <v>750</v>
          </cell>
        </row>
        <row r="65">
          <cell r="H65">
            <v>2438.59</v>
          </cell>
        </row>
        <row r="66">
          <cell r="H66">
            <v>2617.5</v>
          </cell>
        </row>
        <row r="67">
          <cell r="H67">
            <v>30124.11</v>
          </cell>
        </row>
        <row r="68">
          <cell r="H68">
            <v>57172.790000000008</v>
          </cell>
        </row>
        <row r="82">
          <cell r="H82">
            <v>105079.56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19669366-B2FA-4ECD-8200-6F820352CB19}" userId="" providerId="Windows Live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7" dT="2024-10-18T15:30:24.38" personId="{19669366-B2FA-4ECD-8200-6F820352CB19}" id="{D7E8FF43-9E79-4B41-9923-122C2A69C997}">
    <text>question</text>
  </threadedComment>
  <threadedComment ref="I101" dT="2025-04-29T15:01:01.19" personId="{19669366-B2FA-4ECD-8200-6F820352CB19}" id="{BCFF332F-CB68-4CF7-B5B3-B280B1E06D34}">
    <text>2,400 ?</text>
  </threadedComment>
  <threadedComment ref="I113" dT="2024-10-18T16:21:07.69" personId="{19669366-B2FA-4ECD-8200-6F820352CB19}" id="{0E9ECCE4-B9AB-4561-B3CA-FBE0FD143C0B}">
    <text>BTR + Sunbiz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21"/>
  <sheetViews>
    <sheetView tabSelected="1" zoomScale="110" zoomScaleNormal="110" workbookViewId="0">
      <selection activeCell="C7" sqref="C7:D10"/>
    </sheetView>
  </sheetViews>
  <sheetFormatPr defaultRowHeight="14"/>
  <cols>
    <col min="1" max="1" width="72.75" bestFit="1" customWidth="1"/>
    <col min="2" max="2" width="18.33203125" style="384" bestFit="1" customWidth="1"/>
    <col min="4" max="4" width="11" bestFit="1" customWidth="1"/>
  </cols>
  <sheetData>
    <row r="4" spans="1:4" ht="15.5">
      <c r="A4" s="402" t="s">
        <v>393</v>
      </c>
      <c r="B4" s="384">
        <f>'IS (Combined)'!D16</f>
        <v>830313.64000000013</v>
      </c>
    </row>
    <row r="5" spans="1:4" ht="15.5">
      <c r="A5" s="402" t="s">
        <v>394</v>
      </c>
      <c r="B5" s="384">
        <f>'IS (Combined)'!D31+'IS (Combined)'!D32+'IS (Combined)'!D33+'IS (Combined)'!D34+'IS (Combined)'!D35</f>
        <v>87785.739999999991</v>
      </c>
    </row>
    <row r="6" spans="1:4" ht="15.5">
      <c r="A6" s="402" t="s">
        <v>406</v>
      </c>
      <c r="B6" s="384">
        <f>'IS (Combined)'!D81</f>
        <v>366889.70999999996</v>
      </c>
    </row>
    <row r="7" spans="1:4" ht="15.5">
      <c r="A7" s="402" t="s">
        <v>395</v>
      </c>
      <c r="B7" s="384">
        <f>B4+B5-B6</f>
        <v>551209.67000000016</v>
      </c>
      <c r="D7" s="387"/>
    </row>
    <row r="8" spans="1:4" ht="15.5">
      <c r="A8" s="402" t="s">
        <v>405</v>
      </c>
      <c r="B8" s="384">
        <f>'IS (Combined)'!D85</f>
        <v>263727.85000000015</v>
      </c>
      <c r="D8" s="387"/>
    </row>
    <row r="9" spans="1:4" ht="15.5">
      <c r="A9" s="402" t="s">
        <v>396</v>
      </c>
      <c r="B9" s="384">
        <f>'Fixed Assets'!E15+'Fixed Assets'!E16+'Fixed Assets'!E17+'Fixed Assets'!E18+'Fixed Assets'!E19+55382.62+10221.09+'Fixed Assets'!E20</f>
        <v>368524.38</v>
      </c>
      <c r="D9" s="387"/>
    </row>
    <row r="10" spans="1:4" ht="15.5">
      <c r="A10" s="402" t="s">
        <v>397</v>
      </c>
      <c r="B10" s="404">
        <f>'IS (Combined)'!D83/-'IS (Combined)'!D84</f>
        <v>1.9173722707056751</v>
      </c>
      <c r="D10" s="387"/>
    </row>
    <row r="11" spans="1:4" ht="15.5">
      <c r="A11" s="402"/>
    </row>
    <row r="12" spans="1:4" ht="15.5">
      <c r="A12" s="402"/>
    </row>
    <row r="13" spans="1:4" ht="15.5">
      <c r="A13" s="403" t="s">
        <v>398</v>
      </c>
      <c r="B13" s="403" t="s">
        <v>399</v>
      </c>
    </row>
    <row r="14" spans="1:4" ht="15.5">
      <c r="A14" s="402" t="s">
        <v>400</v>
      </c>
      <c r="B14" s="384">
        <f>'IS (Combined)'!D36</f>
        <v>918099.38000000012</v>
      </c>
    </row>
    <row r="15" spans="1:4" ht="15.5">
      <c r="A15" s="402" t="s">
        <v>395</v>
      </c>
      <c r="B15" s="384">
        <f>'IS (Combined)'!D83</f>
        <v>551209.67000000016</v>
      </c>
    </row>
    <row r="16" spans="1:4" ht="15.5">
      <c r="A16" s="402" t="s">
        <v>401</v>
      </c>
      <c r="B16" s="384">
        <f>-'IS (Combined)'!D84</f>
        <v>287481.82</v>
      </c>
    </row>
    <row r="17" spans="1:2" ht="15.5">
      <c r="A17" s="402" t="s">
        <v>402</v>
      </c>
      <c r="B17" s="384">
        <f>B9</f>
        <v>368524.38</v>
      </c>
    </row>
    <row r="18" spans="1:2" ht="15.5">
      <c r="A18" s="402" t="s">
        <v>405</v>
      </c>
      <c r="B18" s="384">
        <f>B8</f>
        <v>263727.85000000015</v>
      </c>
    </row>
    <row r="19" spans="1:2" ht="15.5">
      <c r="A19" s="402" t="s">
        <v>403</v>
      </c>
    </row>
    <row r="20" spans="1:2" ht="15.5">
      <c r="A20" s="402"/>
    </row>
    <row r="21" spans="1:2" ht="15.5">
      <c r="A21" s="402" t="s">
        <v>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176"/>
  <sheetViews>
    <sheetView topLeftCell="A44" zoomScale="140" zoomScaleNormal="140" workbookViewId="0">
      <selection activeCell="G105" sqref="G105"/>
    </sheetView>
  </sheetViews>
  <sheetFormatPr defaultColWidth="8" defaultRowHeight="10"/>
  <cols>
    <col min="1" max="1" width="1.33203125" style="43" customWidth="1"/>
    <col min="2" max="2" width="33" style="43" customWidth="1"/>
    <col min="3" max="3" width="10.83203125" style="43" customWidth="1"/>
    <col min="4" max="4" width="5.6640625" style="43" customWidth="1"/>
    <col min="5" max="5" width="8.75" style="43" bestFit="1" customWidth="1"/>
    <col min="6" max="6" width="5.6640625" style="43" customWidth="1"/>
    <col min="7" max="7" width="7.6640625" style="43" bestFit="1" customWidth="1"/>
    <col min="8" max="8" width="5.6640625" style="43" customWidth="1"/>
    <col min="9" max="9" width="16" style="43" hidden="1" customWidth="1"/>
    <col min="10" max="10" width="5.75" style="44" hidden="1" customWidth="1"/>
    <col min="11" max="11" width="6.9140625" style="44" hidden="1" customWidth="1"/>
    <col min="12" max="12" width="9.58203125" style="43" hidden="1" customWidth="1"/>
    <col min="13" max="13" width="5.83203125" style="44" hidden="1" customWidth="1"/>
    <col min="14" max="14" width="5.25" style="45" hidden="1" customWidth="1"/>
    <col min="15" max="15" width="9.33203125" style="43" hidden="1" customWidth="1"/>
    <col min="16" max="16" width="5.83203125" style="44" hidden="1" customWidth="1"/>
    <col min="17" max="17" width="4.75" style="45" hidden="1" customWidth="1"/>
    <col min="18" max="18" width="10.25" style="43" hidden="1" customWidth="1"/>
    <col min="19" max="19" width="6.58203125" style="44" hidden="1" customWidth="1"/>
    <col min="20" max="20" width="5.25" style="45" hidden="1" customWidth="1"/>
    <col min="21" max="21" width="9.33203125" style="46" hidden="1" customWidth="1"/>
    <col min="22" max="22" width="6.1640625" style="47" hidden="1" customWidth="1"/>
    <col min="23" max="23" width="5" style="45" hidden="1" customWidth="1"/>
    <col min="24" max="24" width="9.83203125" style="46" hidden="1" customWidth="1"/>
    <col min="25" max="25" width="5.5" style="47" hidden="1" customWidth="1"/>
    <col min="26" max="26" width="3.9140625" style="45" hidden="1" customWidth="1"/>
    <col min="27" max="27" width="10.83203125" style="46" hidden="1" customWidth="1"/>
    <col min="28" max="28" width="4.75" style="49" hidden="1" customWidth="1"/>
    <col min="29" max="29" width="10.83203125" style="46" hidden="1" customWidth="1"/>
    <col min="30" max="30" width="4.75" style="49" hidden="1" customWidth="1"/>
    <col min="31" max="31" width="10.83203125" style="46" hidden="1" customWidth="1"/>
    <col min="32" max="32" width="4.75" style="49" hidden="1" customWidth="1"/>
    <col min="33" max="33" width="10.83203125" style="46" hidden="1" customWidth="1"/>
    <col min="34" max="34" width="4.75" style="49" hidden="1" customWidth="1"/>
    <col min="35" max="35" width="10.83203125" style="46" hidden="1" customWidth="1"/>
    <col min="36" max="36" width="4.75" style="49" hidden="1" customWidth="1"/>
    <col min="37" max="37" width="45.33203125" style="43" hidden="1" customWidth="1"/>
    <col min="38" max="38" width="0" style="43" hidden="1" customWidth="1"/>
    <col min="39" max="16384" width="8" style="43"/>
  </cols>
  <sheetData>
    <row r="1" spans="1:37" ht="10.5" thickBot="1">
      <c r="A1" s="450"/>
      <c r="Z1" s="48"/>
    </row>
    <row r="2" spans="1:37" ht="14.15" customHeight="1">
      <c r="A2" s="450"/>
      <c r="B2" s="451" t="e" vm="1">
        <v>#VALUE!</v>
      </c>
      <c r="I2" s="454" t="s">
        <v>203</v>
      </c>
      <c r="J2" s="455"/>
      <c r="K2" s="455"/>
      <c r="L2" s="456"/>
      <c r="M2" s="43"/>
      <c r="N2" s="457" t="s">
        <v>204</v>
      </c>
      <c r="O2" s="458"/>
      <c r="P2" s="458"/>
      <c r="Q2" s="458"/>
      <c r="R2" s="458"/>
      <c r="S2" s="458"/>
      <c r="T2" s="458"/>
      <c r="U2" s="458"/>
      <c r="V2" s="458"/>
      <c r="W2" s="458"/>
      <c r="X2" s="458"/>
      <c r="Y2" s="459"/>
      <c r="Z2" s="48"/>
    </row>
    <row r="3" spans="1:37" ht="13" customHeight="1">
      <c r="A3" s="450"/>
      <c r="B3" s="452"/>
      <c r="I3" s="460" t="s">
        <v>205</v>
      </c>
      <c r="J3" s="461"/>
      <c r="K3" s="461"/>
      <c r="L3" s="50">
        <v>0.05</v>
      </c>
      <c r="M3" s="43"/>
      <c r="N3" s="51"/>
      <c r="O3" s="52"/>
      <c r="P3" s="52"/>
      <c r="Q3" s="52"/>
      <c r="R3" s="52"/>
      <c r="S3" s="52"/>
      <c r="T3" s="52"/>
      <c r="U3" s="52"/>
      <c r="V3" s="52"/>
      <c r="W3" s="52"/>
      <c r="X3" s="52"/>
      <c r="Y3" s="53"/>
      <c r="Z3" s="48"/>
    </row>
    <row r="4" spans="1:37" ht="13" customHeight="1">
      <c r="A4" s="450"/>
      <c r="B4" s="452"/>
      <c r="I4" s="460" t="s">
        <v>206</v>
      </c>
      <c r="J4" s="461"/>
      <c r="K4" s="461"/>
      <c r="L4" s="50">
        <v>0.02</v>
      </c>
      <c r="M4" s="43"/>
      <c r="N4" s="51"/>
      <c r="O4" s="52"/>
      <c r="P4" s="52"/>
      <c r="Q4" s="52"/>
      <c r="R4" s="52"/>
      <c r="S4" s="52"/>
      <c r="T4" s="52"/>
      <c r="U4" s="52"/>
      <c r="V4" s="52"/>
      <c r="W4" s="52"/>
      <c r="X4" s="52"/>
      <c r="Y4" s="53"/>
      <c r="Z4" s="48"/>
    </row>
    <row r="5" spans="1:37" ht="13" customHeight="1">
      <c r="A5" s="450"/>
      <c r="B5" s="452"/>
      <c r="I5" s="460" t="s">
        <v>207</v>
      </c>
      <c r="J5" s="461"/>
      <c r="K5" s="461"/>
      <c r="L5" s="54">
        <v>0</v>
      </c>
      <c r="M5" s="43"/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3"/>
      <c r="Z5" s="48"/>
    </row>
    <row r="6" spans="1:37" ht="11.15" customHeight="1">
      <c r="A6" s="450"/>
      <c r="B6" s="452"/>
      <c r="I6" s="55"/>
      <c r="J6" s="56"/>
      <c r="K6" s="56"/>
      <c r="L6" s="57"/>
      <c r="M6" s="45"/>
      <c r="N6" s="51"/>
      <c r="O6" s="52"/>
      <c r="P6" s="52"/>
      <c r="Q6" s="52"/>
      <c r="R6" s="52"/>
      <c r="S6" s="52"/>
      <c r="T6" s="52"/>
      <c r="U6" s="52"/>
      <c r="V6" s="52"/>
      <c r="W6" s="52"/>
      <c r="X6" s="52"/>
      <c r="Y6" s="53"/>
      <c r="Z6" s="48"/>
    </row>
    <row r="7" spans="1:37" ht="13" customHeight="1">
      <c r="A7" s="450"/>
      <c r="B7" s="452"/>
      <c r="I7" s="460" t="s">
        <v>208</v>
      </c>
      <c r="J7" s="461"/>
      <c r="K7" s="461"/>
      <c r="L7" s="50">
        <v>0.03</v>
      </c>
      <c r="M7" s="43"/>
      <c r="N7" s="51"/>
      <c r="O7" s="52"/>
      <c r="P7" s="52"/>
      <c r="Q7" s="52"/>
      <c r="R7" s="52"/>
      <c r="S7" s="52"/>
      <c r="T7" s="52"/>
      <c r="U7" s="52"/>
      <c r="V7" s="52"/>
      <c r="W7" s="52"/>
      <c r="X7" s="52"/>
      <c r="Y7" s="53"/>
      <c r="Z7" s="48"/>
    </row>
    <row r="8" spans="1:37" ht="13" customHeight="1">
      <c r="A8" s="450"/>
      <c r="B8" s="452"/>
      <c r="I8" s="460" t="s">
        <v>209</v>
      </c>
      <c r="J8" s="461"/>
      <c r="K8" s="461"/>
      <c r="L8" s="50">
        <v>0.01</v>
      </c>
      <c r="M8" s="43"/>
      <c r="N8" s="51"/>
      <c r="O8" s="52"/>
      <c r="P8" s="52"/>
      <c r="Q8" s="52"/>
      <c r="R8" s="52"/>
      <c r="S8" s="52"/>
      <c r="T8" s="52"/>
      <c r="U8" s="52"/>
      <c r="V8" s="52"/>
      <c r="W8" s="52"/>
      <c r="X8" s="52"/>
      <c r="Y8" s="53"/>
      <c r="Z8" s="48"/>
    </row>
    <row r="9" spans="1:37" ht="14.15" customHeight="1" thickBot="1">
      <c r="A9" s="450"/>
      <c r="B9" s="453"/>
      <c r="I9" s="462" t="s">
        <v>210</v>
      </c>
      <c r="J9" s="463"/>
      <c r="K9" s="463"/>
      <c r="L9" s="58">
        <v>0.03</v>
      </c>
      <c r="M9" s="43"/>
      <c r="N9" s="59"/>
      <c r="O9" s="60"/>
      <c r="P9" s="60"/>
      <c r="Q9" s="60"/>
      <c r="R9" s="60"/>
      <c r="S9" s="60"/>
      <c r="T9" s="60"/>
      <c r="U9" s="60"/>
      <c r="V9" s="60"/>
      <c r="W9" s="60"/>
      <c r="X9" s="60"/>
      <c r="Y9" s="61"/>
      <c r="Z9" s="48"/>
    </row>
    <row r="10" spans="1:37" ht="14.15" customHeight="1" thickBot="1">
      <c r="A10" s="450"/>
      <c r="C10" s="69" t="s">
        <v>373</v>
      </c>
      <c r="E10" s="43" t="s">
        <v>382</v>
      </c>
      <c r="N10" s="44"/>
      <c r="Q10" s="44"/>
      <c r="T10" s="44"/>
      <c r="V10" s="62"/>
      <c r="Z10" s="48"/>
    </row>
    <row r="11" spans="1:37" ht="14.15" hidden="1" customHeight="1">
      <c r="A11" s="450"/>
      <c r="C11" s="46"/>
      <c r="D11" s="63"/>
      <c r="O11" s="64"/>
      <c r="P11" s="65"/>
      <c r="R11" s="46"/>
      <c r="S11" s="47"/>
      <c r="Z11" s="48"/>
    </row>
    <row r="12" spans="1:37" ht="14.15" customHeight="1">
      <c r="B12" s="66" t="str">
        <f>'[2]Data Entry'!B1</f>
        <v>Allaire on 41st</v>
      </c>
      <c r="C12" s="430" t="s">
        <v>211</v>
      </c>
      <c r="D12" s="431"/>
      <c r="E12" s="431"/>
      <c r="F12" s="432"/>
      <c r="G12" s="67"/>
      <c r="H12" s="67"/>
      <c r="I12" s="433" t="s">
        <v>212</v>
      </c>
      <c r="J12" s="434"/>
      <c r="K12" s="435"/>
      <c r="L12" s="436" t="s">
        <v>213</v>
      </c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8"/>
    </row>
    <row r="13" spans="1:37" ht="10.5">
      <c r="B13" s="68" t="s">
        <v>214</v>
      </c>
      <c r="C13" s="69" t="s">
        <v>476</v>
      </c>
      <c r="E13" s="70" t="s">
        <v>382</v>
      </c>
      <c r="F13" s="71"/>
      <c r="G13" s="49"/>
      <c r="H13" s="49"/>
      <c r="I13" s="69" t="s">
        <v>215</v>
      </c>
      <c r="J13" s="72">
        <v>45755</v>
      </c>
      <c r="K13" s="73">
        <v>45838</v>
      </c>
      <c r="L13" s="74"/>
      <c r="M13" s="74"/>
      <c r="N13" s="74"/>
      <c r="O13" s="74"/>
      <c r="R13" s="70"/>
      <c r="S13" s="75"/>
      <c r="U13" s="70"/>
      <c r="V13" s="75"/>
      <c r="Z13" s="48"/>
    </row>
    <row r="14" spans="1:37">
      <c r="B14" s="76"/>
      <c r="C14" s="77" t="s">
        <v>216</v>
      </c>
      <c r="E14" s="78" t="s">
        <v>216</v>
      </c>
      <c r="F14" s="79"/>
      <c r="G14" s="82"/>
      <c r="H14" s="82"/>
      <c r="I14" s="77" t="s">
        <v>217</v>
      </c>
      <c r="J14" s="80"/>
      <c r="K14" s="81"/>
      <c r="L14" s="76"/>
      <c r="Z14" s="81"/>
      <c r="AA14" s="78"/>
      <c r="AB14" s="82"/>
      <c r="AC14" s="78"/>
      <c r="AD14" s="82"/>
      <c r="AE14" s="78"/>
      <c r="AF14" s="82"/>
      <c r="AG14" s="78"/>
      <c r="AH14" s="82"/>
      <c r="AI14" s="78"/>
      <c r="AJ14" s="82"/>
    </row>
    <row r="15" spans="1:37" ht="10.5">
      <c r="B15" s="83" t="s">
        <v>218</v>
      </c>
      <c r="C15" s="77"/>
      <c r="D15" s="82" t="s">
        <v>219</v>
      </c>
      <c r="E15" s="78" t="s">
        <v>477</v>
      </c>
      <c r="F15" s="79" t="s">
        <v>219</v>
      </c>
      <c r="G15" s="82" t="s">
        <v>383</v>
      </c>
      <c r="H15" s="82"/>
      <c r="I15" s="77" t="s">
        <v>220</v>
      </c>
      <c r="J15" s="84" t="s">
        <v>221</v>
      </c>
      <c r="K15" s="81" t="s">
        <v>219</v>
      </c>
      <c r="L15" s="85" t="s">
        <v>222</v>
      </c>
      <c r="M15" s="84" t="s">
        <v>221</v>
      </c>
      <c r="N15" s="86" t="s">
        <v>219</v>
      </c>
      <c r="O15" s="87" t="s">
        <v>223</v>
      </c>
      <c r="P15" s="84" t="s">
        <v>221</v>
      </c>
      <c r="Q15" s="86" t="s">
        <v>219</v>
      </c>
      <c r="R15" s="87" t="s">
        <v>224</v>
      </c>
      <c r="S15" s="88" t="s">
        <v>225</v>
      </c>
      <c r="T15" s="86" t="s">
        <v>219</v>
      </c>
      <c r="U15" s="78" t="s">
        <v>226</v>
      </c>
      <c r="V15" s="88" t="s">
        <v>225</v>
      </c>
      <c r="W15" s="86" t="s">
        <v>219</v>
      </c>
      <c r="X15" s="78" t="s">
        <v>227</v>
      </c>
      <c r="Y15" s="88" t="s">
        <v>225</v>
      </c>
      <c r="Z15" s="81" t="s">
        <v>219</v>
      </c>
      <c r="AA15" s="89" t="s">
        <v>228</v>
      </c>
      <c r="AB15" s="82" t="s">
        <v>219</v>
      </c>
      <c r="AC15" s="89" t="s">
        <v>229</v>
      </c>
      <c r="AD15" s="82" t="s">
        <v>219</v>
      </c>
      <c r="AE15" s="89" t="s">
        <v>230</v>
      </c>
      <c r="AF15" s="82" t="s">
        <v>219</v>
      </c>
      <c r="AG15" s="89" t="s">
        <v>231</v>
      </c>
      <c r="AH15" s="82" t="s">
        <v>219</v>
      </c>
      <c r="AI15" s="89" t="s">
        <v>232</v>
      </c>
      <c r="AJ15" s="82" t="s">
        <v>219</v>
      </c>
      <c r="AK15" s="90" t="s">
        <v>233</v>
      </c>
    </row>
    <row r="16" spans="1:37" ht="10.5">
      <c r="B16" s="91" t="s">
        <v>234</v>
      </c>
      <c r="C16" s="92" t="s">
        <v>235</v>
      </c>
      <c r="D16" s="93"/>
      <c r="E16" s="94"/>
      <c r="F16" s="95"/>
      <c r="G16" s="100"/>
      <c r="H16" s="100"/>
      <c r="I16" s="96">
        <f>I21/'[2]Data Entry'!$C$11/12</f>
        <v>1954.4146341463413</v>
      </c>
      <c r="J16" s="97"/>
      <c r="K16" s="95"/>
      <c r="L16" s="98"/>
      <c r="M16" s="97">
        <f>L21/'[2]Data Entry'!$C$11/12</f>
        <v>2135.1119155264723</v>
      </c>
      <c r="N16" s="99"/>
      <c r="O16" s="100"/>
      <c r="P16" s="97">
        <f>O21/'[2]Data Entry'!$C$11/12</f>
        <v>2316.8706566924452</v>
      </c>
      <c r="Q16" s="101"/>
      <c r="R16" s="100"/>
      <c r="S16" s="97">
        <f>R21/'[2]Data Entry'!$C$11/12</f>
        <v>2504.0821600933973</v>
      </c>
      <c r="T16" s="101"/>
      <c r="U16" s="100"/>
      <c r="V16" s="97">
        <f>U21/'[2]Data Entry'!$C$11/12</f>
        <v>2579.2046248961992</v>
      </c>
      <c r="W16" s="101"/>
      <c r="X16" s="100"/>
      <c r="Y16" s="97">
        <f>X21/'[2]Data Entry'!$C$11/12</f>
        <v>2656.580763643085</v>
      </c>
      <c r="Z16" s="95"/>
      <c r="AA16" s="102">
        <f>AA19/'[2]Data Entry'!$C$11/12</f>
        <v>2654.0938940105493</v>
      </c>
      <c r="AC16" s="102">
        <f>AC19/'[2]Data Entry'!$C$11/12</f>
        <v>2707.1757718907606</v>
      </c>
      <c r="AE16" s="102">
        <f>AE19/'[2]Data Entry'!$C$11/12</f>
        <v>2761.3192873285757</v>
      </c>
      <c r="AG16" s="102">
        <f>AG19/'[2]Data Entry'!$C$11/12</f>
        <v>2816.5456730751471</v>
      </c>
      <c r="AI16" s="102">
        <f>AI19/'[2]Data Entry'!$C$11/12</f>
        <v>2872.8765865366499</v>
      </c>
    </row>
    <row r="17" spans="2:37" ht="10.5">
      <c r="B17" s="103" t="s">
        <v>236</v>
      </c>
      <c r="C17" s="104"/>
      <c r="D17" s="105"/>
      <c r="E17" s="106"/>
      <c r="F17" s="107"/>
      <c r="G17" s="389"/>
      <c r="H17" s="389"/>
      <c r="I17" s="108">
        <v>0</v>
      </c>
      <c r="J17" s="109"/>
      <c r="K17" s="107"/>
      <c r="L17" s="110"/>
      <c r="M17" s="111">
        <f>(M16-I16)/I16</f>
        <v>9.2455960072698115E-2</v>
      </c>
      <c r="N17" s="112"/>
      <c r="O17" s="111"/>
      <c r="P17" s="111">
        <f>(P16-M16)/M16</f>
        <v>8.5128437457647324E-2</v>
      </c>
      <c r="Q17" s="112"/>
      <c r="R17" s="111"/>
      <c r="S17" s="111">
        <f>(S16-P16)/P16</f>
        <v>8.0803605872506692E-2</v>
      </c>
      <c r="T17" s="112"/>
      <c r="U17" s="111"/>
      <c r="V17" s="111">
        <f>(V16-S16)/S16</f>
        <v>0.03</v>
      </c>
      <c r="W17" s="112"/>
      <c r="X17" s="111"/>
      <c r="Y17" s="111">
        <f>(Y16-V16)/V16</f>
        <v>2.9999999999999919E-2</v>
      </c>
      <c r="Z17" s="107"/>
      <c r="AA17" s="113">
        <f>(AA16-Y16)/Y16</f>
        <v>-9.3611670556754294E-4</v>
      </c>
      <c r="AC17" s="113">
        <f>(AC16-AA16)/AA16</f>
        <v>2.0000000000000125E-2</v>
      </c>
      <c r="AE17" s="113">
        <f>(AE16-AC16)/AC16</f>
        <v>1.9999999999999934E-2</v>
      </c>
      <c r="AG17" s="113">
        <f>(AG16-AE16)/AE16</f>
        <v>1.9999999999999959E-2</v>
      </c>
      <c r="AI17" s="113">
        <f>(AI16-AG16)/AG16</f>
        <v>1.9999999999999973E-2</v>
      </c>
    </row>
    <row r="18" spans="2:37" s="116" customFormat="1" ht="18" customHeight="1">
      <c r="B18" s="439" t="s">
        <v>237</v>
      </c>
      <c r="C18" s="440"/>
      <c r="D18" s="440"/>
      <c r="E18" s="440"/>
      <c r="F18" s="440"/>
      <c r="G18" s="440"/>
      <c r="H18" s="440"/>
      <c r="I18" s="440"/>
      <c r="J18" s="440"/>
      <c r="K18" s="440"/>
      <c r="L18" s="440"/>
      <c r="M18" s="440"/>
      <c r="N18" s="440"/>
      <c r="O18" s="440"/>
      <c r="P18" s="440"/>
      <c r="Q18" s="440"/>
      <c r="R18" s="440"/>
      <c r="S18" s="440"/>
      <c r="T18" s="440"/>
      <c r="U18" s="440"/>
      <c r="V18" s="440"/>
      <c r="W18" s="440"/>
      <c r="X18" s="440"/>
      <c r="Y18" s="440"/>
      <c r="Z18" s="441"/>
      <c r="AA18" s="114"/>
      <c r="AB18" s="115"/>
      <c r="AC18" s="114"/>
      <c r="AD18" s="115"/>
      <c r="AE18" s="114"/>
      <c r="AF18" s="115"/>
      <c r="AG18" s="114"/>
      <c r="AH18" s="115"/>
      <c r="AI18" s="114"/>
      <c r="AJ18" s="115"/>
    </row>
    <row r="19" spans="2:37">
      <c r="B19" s="117" t="s">
        <v>238</v>
      </c>
      <c r="C19" s="118">
        <f>'IS (Combined)'!D12+'IS (Combined)'!D13</f>
        <v>899671.81</v>
      </c>
      <c r="D19" s="119">
        <f>+C19/$C$85</f>
        <v>0.97992856721022947</v>
      </c>
      <c r="E19" s="120">
        <f>(I19/4)*2</f>
        <v>1002330</v>
      </c>
      <c r="F19" s="121">
        <f>+E19/$E$85</f>
        <v>1.0585216649233211</v>
      </c>
      <c r="G19" s="120">
        <f>C19-E19</f>
        <v>-102658.18999999994</v>
      </c>
      <c r="H19" s="119"/>
      <c r="I19" s="122">
        <f>'[2]Rent Analysis'!I23</f>
        <v>2004660</v>
      </c>
      <c r="J19" s="123">
        <f>+I19/'[2]Data Entry'!$C$11</f>
        <v>24447.073170731706</v>
      </c>
      <c r="K19" s="48">
        <f>+I19/$I$85</f>
        <v>1.0585216649233211</v>
      </c>
      <c r="L19" s="124">
        <f>'[2]Rent Analysis'!M23</f>
        <v>2274900</v>
      </c>
      <c r="M19" s="123">
        <f>+L19/'[2]Data Entry'!$C$11</f>
        <v>27742.682926829268</v>
      </c>
      <c r="N19" s="125">
        <f>+L19/$L$85</f>
        <v>1.0772745448269798</v>
      </c>
      <c r="O19" s="46">
        <f>+L19*(1+$L$7)</f>
        <v>2343147</v>
      </c>
      <c r="P19" s="123">
        <f>+O19/'[2]Data Entry'!$C$11</f>
        <v>28574.963414634145</v>
      </c>
      <c r="Q19" s="125">
        <f>+O19/$O$85</f>
        <v>1.0056617700283006</v>
      </c>
      <c r="R19" s="46">
        <f>+O19*(1+$L$7)</f>
        <v>2413441.41</v>
      </c>
      <c r="S19" s="123">
        <f>+R19/'[2]Data Entry'!$C$11</f>
        <v>29432.212317073172</v>
      </c>
      <c r="T19" s="125">
        <f>+R19/$R$85</f>
        <v>0.96407555318863392</v>
      </c>
      <c r="U19" s="46">
        <f>+R19*(1+$L$7)</f>
        <v>2485844.6523000002</v>
      </c>
      <c r="V19" s="123">
        <f>+U19/'[2]Data Entry'!$C$11</f>
        <v>30315.178686585368</v>
      </c>
      <c r="W19" s="125">
        <f>+U19/$U$85</f>
        <v>0.96566225869749045</v>
      </c>
      <c r="X19" s="46">
        <f>+U19*(1+$L$7)</f>
        <v>2560419.9918690003</v>
      </c>
      <c r="Y19" s="123">
        <f>+X19/'[2]Data Entry'!$C$11</f>
        <v>31224.634047182932</v>
      </c>
      <c r="Z19" s="48">
        <f>+X19/$X$85</f>
        <v>0.96722323434889157</v>
      </c>
      <c r="AA19" s="126">
        <f>X19*1.02</f>
        <v>2611628.3917063805</v>
      </c>
      <c r="AB19" s="127">
        <f>AA19/$X$85</f>
        <v>0.98656769903586949</v>
      </c>
      <c r="AC19" s="126">
        <f>AA19*1.02</f>
        <v>2663860.9595405082</v>
      </c>
      <c r="AD19" s="127">
        <f>AC19/$X$85</f>
        <v>1.006299053016587</v>
      </c>
      <c r="AE19" s="126">
        <f>AC19*1.02</f>
        <v>2717138.1787313186</v>
      </c>
      <c r="AF19" s="127">
        <f>AE19/$X$85</f>
        <v>1.0264250340769188</v>
      </c>
      <c r="AG19" s="126">
        <f>AE19*1.02</f>
        <v>2771480.9423059449</v>
      </c>
      <c r="AH19" s="127">
        <f>AG19/$X$85</f>
        <v>1.0469535347584571</v>
      </c>
      <c r="AI19" s="126">
        <f>AG19*1.02</f>
        <v>2826910.5611520638</v>
      </c>
      <c r="AJ19" s="127">
        <f>AI19/$X$85</f>
        <v>1.0678926054536262</v>
      </c>
      <c r="AK19" s="128"/>
    </row>
    <row r="20" spans="2:37">
      <c r="B20" s="129" t="s">
        <v>239</v>
      </c>
      <c r="C20" s="130">
        <v>0</v>
      </c>
      <c r="D20" s="119">
        <f>+C20/$C$85</f>
        <v>0</v>
      </c>
      <c r="E20" s="120">
        <f>I20/2</f>
        <v>-40758</v>
      </c>
      <c r="F20" s="121">
        <f>+E20/$E$85</f>
        <v>-4.3042935978115711E-2</v>
      </c>
      <c r="G20" s="120">
        <f>C20-E20</f>
        <v>40758</v>
      </c>
      <c r="H20" s="119"/>
      <c r="I20" s="132">
        <f>'[2]Rent Analysis'!G23-I19</f>
        <v>-81516</v>
      </c>
      <c r="J20" s="123">
        <f>+I20/'[2]Data Entry'!$C$11</f>
        <v>-994.09756097560978</v>
      </c>
      <c r="K20" s="48">
        <f>+I20/$I$85</f>
        <v>-4.3042935978115711E-2</v>
      </c>
      <c r="L20" s="133">
        <f>-L19+'[2]Rent Analysis'!M36</f>
        <v>-173949.8751219511</v>
      </c>
      <c r="M20" s="123">
        <f>+L20/'[2]Data Entry'!$C$11</f>
        <v>-2121.3399405115988</v>
      </c>
      <c r="N20" s="125">
        <f>+L20/$L$85</f>
        <v>-8.2373630728695704E-2</v>
      </c>
      <c r="O20" s="134">
        <f>-O19+'[2]Rent Analysis'!M37</f>
        <v>-63346.273814633954</v>
      </c>
      <c r="P20" s="123">
        <f>+O20/'[2]Data Entry'!$C$11</f>
        <v>-772.51553432480432</v>
      </c>
      <c r="Q20" s="125">
        <f>+O20/$O$85</f>
        <v>-2.7187763230015944E-2</v>
      </c>
      <c r="R20" s="134">
        <f>-R19+'[2]Rent Analysis'!M38</f>
        <v>50575.435531902593</v>
      </c>
      <c r="S20" s="123">
        <f>+R20/'[2]Data Entry'!$C$11</f>
        <v>616.77360404759258</v>
      </c>
      <c r="T20" s="125">
        <f>+R20/$R$85</f>
        <v>2.0202910576633835E-2</v>
      </c>
      <c r="U20" s="134">
        <f>-U19+'[2]Rent Analysis'!M39</f>
        <v>52092.698597859591</v>
      </c>
      <c r="V20" s="123">
        <f>+U20/'[2]Data Entry'!$C$11</f>
        <v>635.27681216901942</v>
      </c>
      <c r="W20" s="125">
        <f>+U20/$U$85</f>
        <v>2.0236161154766254E-2</v>
      </c>
      <c r="X20" s="134">
        <f>-X19+'[2]Rent Analysis'!M40</f>
        <v>53655.479555795435</v>
      </c>
      <c r="Y20" s="123">
        <f>+X20/'[2]Data Entry'!$C$11</f>
        <v>654.33511653409062</v>
      </c>
      <c r="Z20" s="48">
        <f>+X20/$X$85</f>
        <v>2.0268872544857285E-2</v>
      </c>
      <c r="AA20" s="46">
        <f>-AA19*0.01</f>
        <v>-26116.283917063807</v>
      </c>
      <c r="AB20" s="127">
        <f>AA20/$X$85</f>
        <v>-9.8656769903586964E-3</v>
      </c>
      <c r="AC20" s="46">
        <f>-AC19*0.01</f>
        <v>-26638.609595405083</v>
      </c>
      <c r="AD20" s="127">
        <f>AC20/$X$85</f>
        <v>-1.006299053016587E-2</v>
      </c>
      <c r="AE20" s="46">
        <f>-AE19*0.01</f>
        <v>-27171.381787313185</v>
      </c>
      <c r="AF20" s="127">
        <f>AE20/$X$85</f>
        <v>-1.0264250340769186E-2</v>
      </c>
      <c r="AG20" s="46">
        <f>-AG19*0.01</f>
        <v>-27714.809423059451</v>
      </c>
      <c r="AH20" s="127">
        <f>AG20/$X$85</f>
        <v>-1.0469535347584571E-2</v>
      </c>
      <c r="AI20" s="46">
        <f>-AI19*0.01</f>
        <v>-28269.105611520637</v>
      </c>
      <c r="AJ20" s="127">
        <f>AI20/$X$85</f>
        <v>-1.0678926054536263E-2</v>
      </c>
      <c r="AK20" s="135"/>
    </row>
    <row r="21" spans="2:37">
      <c r="B21" s="117" t="s">
        <v>240</v>
      </c>
      <c r="C21" s="136">
        <f>SUM(C19:C20)</f>
        <v>899671.81</v>
      </c>
      <c r="D21" s="137">
        <f>+C21/$C$85</f>
        <v>0.97992856721022947</v>
      </c>
      <c r="E21" s="138">
        <f>SUM(E19:E20)</f>
        <v>961572</v>
      </c>
      <c r="F21" s="139">
        <f>+E21/$E$85</f>
        <v>1.0154787289452054</v>
      </c>
      <c r="G21" s="138">
        <f>SUM(G19:G20)</f>
        <v>-61900.189999999944</v>
      </c>
      <c r="H21" s="137"/>
      <c r="I21" s="136">
        <f>SUM(I19:I20)</f>
        <v>1923144</v>
      </c>
      <c r="J21" s="140">
        <f>+I21/'[2]Data Entry'!$C$11</f>
        <v>23452.975609756097</v>
      </c>
      <c r="K21" s="141">
        <f>+I21/$I$85</f>
        <v>1.0154787289452054</v>
      </c>
      <c r="L21" s="136">
        <f>SUM(L19:L20)</f>
        <v>2100950.1248780489</v>
      </c>
      <c r="M21" s="140">
        <f>+L21/'[2]Data Entry'!$C$11</f>
        <v>25621.342986317668</v>
      </c>
      <c r="N21" s="142">
        <f>+L21/$L$85</f>
        <v>0.99490091409828418</v>
      </c>
      <c r="O21" s="138">
        <f>SUM(O19:O20)</f>
        <v>2279800.726185366</v>
      </c>
      <c r="P21" s="140">
        <f>+O21/'[2]Data Entry'!$C$11</f>
        <v>27802.447880309341</v>
      </c>
      <c r="Q21" s="142">
        <f>+O21/$O$85</f>
        <v>0.97847400679828456</v>
      </c>
      <c r="R21" s="138">
        <f>SUM(R19:R20)</f>
        <v>2464016.8455319027</v>
      </c>
      <c r="S21" s="143">
        <v>26539</v>
      </c>
      <c r="T21" s="142">
        <f>+R21/$R$85</f>
        <v>0.98427846376526773</v>
      </c>
      <c r="U21" s="138">
        <f>SUM(U19:U20)</f>
        <v>2537937.3508978598</v>
      </c>
      <c r="V21" s="143">
        <v>26539</v>
      </c>
      <c r="W21" s="142">
        <f>+U21/$U$85</f>
        <v>0.98589841985225668</v>
      </c>
      <c r="X21" s="138">
        <f>SUM(X19:X20)</f>
        <v>2614075.4714247957</v>
      </c>
      <c r="Y21" s="143">
        <v>26539</v>
      </c>
      <c r="Z21" s="141">
        <f>+X21/$X$85</f>
        <v>0.98749210689374889</v>
      </c>
      <c r="AB21" s="127"/>
      <c r="AD21" s="127"/>
      <c r="AF21" s="127"/>
      <c r="AH21" s="127"/>
      <c r="AJ21" s="127"/>
      <c r="AK21" s="135"/>
    </row>
    <row r="22" spans="2:37">
      <c r="B22" s="129" t="s">
        <v>241</v>
      </c>
      <c r="C22" s="133"/>
      <c r="D22" s="119"/>
      <c r="E22" s="134"/>
      <c r="F22" s="121"/>
      <c r="G22" s="119"/>
      <c r="H22" s="119"/>
      <c r="I22" s="133"/>
      <c r="J22" s="144"/>
      <c r="K22" s="48"/>
      <c r="L22" s="133"/>
      <c r="M22" s="144"/>
      <c r="N22" s="125"/>
      <c r="O22" s="134"/>
      <c r="P22" s="144"/>
      <c r="Q22" s="125"/>
      <c r="R22" s="134"/>
      <c r="S22" s="145"/>
      <c r="T22" s="125"/>
      <c r="U22" s="134"/>
      <c r="V22" s="145"/>
      <c r="W22" s="125"/>
      <c r="X22" s="134"/>
      <c r="Y22" s="145"/>
      <c r="Z22" s="48"/>
      <c r="AB22" s="127"/>
      <c r="AD22" s="127"/>
      <c r="AF22" s="127"/>
      <c r="AH22" s="127"/>
      <c r="AJ22" s="127"/>
      <c r="AK22" s="135"/>
    </row>
    <row r="23" spans="2:37">
      <c r="B23" s="146" t="s">
        <v>242</v>
      </c>
      <c r="C23" s="130">
        <f>'IS (Combined)'!D14</f>
        <v>-54228.32</v>
      </c>
      <c r="D23" s="119">
        <f t="shared" ref="D23:D34" si="0">+C23/$C$85</f>
        <v>-5.9065849712260997E-2</v>
      </c>
      <c r="E23" s="131">
        <f>I23/2</f>
        <v>-19231.439999999999</v>
      </c>
      <c r="F23" s="121">
        <f t="shared" ref="F23:F34" si="1">+E23/$E$85</f>
        <v>-2.0309574578904106E-2</v>
      </c>
      <c r="G23" s="120">
        <f>C23-E23</f>
        <v>-34996.880000000005</v>
      </c>
      <c r="H23" s="119"/>
      <c r="I23" s="133">
        <f>-$L$4*I21</f>
        <v>-38462.879999999997</v>
      </c>
      <c r="J23" s="123">
        <f>+I23/'[2]Data Entry'!$C$11</f>
        <v>-469.0595121951219</v>
      </c>
      <c r="K23" s="48">
        <f t="shared" ref="K23:K34" si="2">+I23/$I$85</f>
        <v>-2.0309574578904106E-2</v>
      </c>
      <c r="L23" s="133">
        <f>-$L$4*L21</f>
        <v>-42019.002497560978</v>
      </c>
      <c r="M23" s="123">
        <f>+L23/'[2]Data Entry'!$C$11</f>
        <v>-512.42685972635343</v>
      </c>
      <c r="N23" s="125">
        <f t="shared" ref="N23:N31" si="3">+L23/$L$85</f>
        <v>-1.9898018281965683E-2</v>
      </c>
      <c r="O23" s="134">
        <f>-$L$4*O21</f>
        <v>-45596.014523707323</v>
      </c>
      <c r="P23" s="123">
        <f>+O23/'[2]Data Entry'!$C$11</f>
        <v>-556.04895760618683</v>
      </c>
      <c r="Q23" s="125">
        <f t="shared" ref="Q23:Q31" si="4">+O23/$O$85</f>
        <v>-1.9569480135965694E-2</v>
      </c>
      <c r="R23" s="134">
        <f>-$L$4*R21</f>
        <v>-49280.336910638056</v>
      </c>
      <c r="S23" s="123">
        <f>+R23/'[2]Data Entry'!$C$11</f>
        <v>-600.97971842241532</v>
      </c>
      <c r="T23" s="125">
        <f t="shared" ref="T23:T31" si="5">+R23/$R$85</f>
        <v>-1.9685569275305355E-2</v>
      </c>
      <c r="U23" s="134">
        <f>-$L$4*U21</f>
        <v>-50758.747017957197</v>
      </c>
      <c r="V23" s="123">
        <f>+U23/'[2]Data Entry'!$C$11</f>
        <v>-619.00910997508777</v>
      </c>
      <c r="W23" s="125">
        <f t="shared" ref="W23:W28" si="6">+U23/$U$85</f>
        <v>-1.9717968397045135E-2</v>
      </c>
      <c r="X23" s="134">
        <f>-$L$4*X21</f>
        <v>-52281.509428495912</v>
      </c>
      <c r="Y23" s="123">
        <f>+X23/'[2]Data Entry'!$C$11</f>
        <v>-637.57938327434044</v>
      </c>
      <c r="Z23" s="48">
        <f t="shared" ref="Z23:Z31" si="7">+X23/$X$85</f>
        <v>-1.9749842137874975E-2</v>
      </c>
      <c r="AB23" s="127"/>
      <c r="AD23" s="127"/>
      <c r="AF23" s="127"/>
      <c r="AH23" s="127"/>
      <c r="AJ23" s="127"/>
      <c r="AK23" s="135"/>
    </row>
    <row r="24" spans="2:37">
      <c r="B24" s="146" t="s">
        <v>243</v>
      </c>
      <c r="C24" s="130">
        <v>0</v>
      </c>
      <c r="D24" s="119">
        <f t="shared" si="0"/>
        <v>0</v>
      </c>
      <c r="E24" s="131">
        <f t="shared" ref="E24:E32" si="8">I24/2</f>
        <v>-48078.600000000006</v>
      </c>
      <c r="F24" s="121">
        <f t="shared" si="1"/>
        <v>-5.0773936447260276E-2</v>
      </c>
      <c r="G24" s="120">
        <f t="shared" ref="G24:G32" si="9">C24-E24</f>
        <v>48078.600000000006</v>
      </c>
      <c r="H24" s="119"/>
      <c r="I24" s="133">
        <f>-$L$3*I21</f>
        <v>-96157.200000000012</v>
      </c>
      <c r="J24" s="123">
        <f>+I24/'[2]Data Entry'!$C$11</f>
        <v>-1172.648780487805</v>
      </c>
      <c r="K24" s="48">
        <f t="shared" si="2"/>
        <v>-5.0773936447260276E-2</v>
      </c>
      <c r="L24" s="133">
        <f>-$L$3*L21</f>
        <v>-105047.50624390245</v>
      </c>
      <c r="M24" s="123">
        <f>+L24/'[2]Data Entry'!$C$11</f>
        <v>-1281.0671493158834</v>
      </c>
      <c r="N24" s="125">
        <f t="shared" si="3"/>
        <v>-4.9745045704914205E-2</v>
      </c>
      <c r="O24" s="134">
        <f>-$L$3*O21</f>
        <v>-113990.03630926831</v>
      </c>
      <c r="P24" s="123">
        <f>+O24/'[2]Data Entry'!$C$11</f>
        <v>-1390.1223940154673</v>
      </c>
      <c r="Q24" s="125">
        <f t="shared" si="4"/>
        <v>-4.8923700339914236E-2</v>
      </c>
      <c r="R24" s="134">
        <f>-$L$3*R21</f>
        <v>-123200.84227659514</v>
      </c>
      <c r="S24" s="123">
        <f>+R24/'[2]Data Entry'!$C$11</f>
        <v>-1502.4492960560383</v>
      </c>
      <c r="T24" s="125">
        <f t="shared" si="5"/>
        <v>-4.9213923188263384E-2</v>
      </c>
      <c r="U24" s="134">
        <f>-$L$3*U21</f>
        <v>-126896.867544893</v>
      </c>
      <c r="V24" s="123">
        <f>+U24/'[2]Data Entry'!$C$11</f>
        <v>-1547.5227749377195</v>
      </c>
      <c r="W24" s="125">
        <f t="shared" si="6"/>
        <v>-4.9294920992612838E-2</v>
      </c>
      <c r="X24" s="134">
        <f>-$L$3*X21</f>
        <v>-130703.77357123978</v>
      </c>
      <c r="Y24" s="123">
        <f>+X24/'[2]Data Entry'!$C$11</f>
        <v>-1593.948458185851</v>
      </c>
      <c r="Z24" s="48">
        <f t="shared" si="7"/>
        <v>-4.937460534468744E-2</v>
      </c>
      <c r="AB24" s="127"/>
      <c r="AD24" s="127"/>
      <c r="AF24" s="127"/>
      <c r="AH24" s="127"/>
      <c r="AJ24" s="127"/>
      <c r="AK24" s="135"/>
    </row>
    <row r="25" spans="2:37">
      <c r="B25" s="146" t="s">
        <v>244</v>
      </c>
      <c r="C25" s="130">
        <v>0</v>
      </c>
      <c r="D25" s="119">
        <f t="shared" si="0"/>
        <v>0</v>
      </c>
      <c r="E25" s="131">
        <f t="shared" si="8"/>
        <v>0</v>
      </c>
      <c r="F25" s="121">
        <f t="shared" si="1"/>
        <v>0</v>
      </c>
      <c r="G25" s="120">
        <f t="shared" si="9"/>
        <v>0</v>
      </c>
      <c r="H25" s="119"/>
      <c r="I25" s="130">
        <v>0</v>
      </c>
      <c r="J25" s="123">
        <f>+I25/'[2]Data Entry'!$C$11</f>
        <v>0</v>
      </c>
      <c r="K25" s="48">
        <f t="shared" si="2"/>
        <v>0</v>
      </c>
      <c r="L25" s="133">
        <f>+I25</f>
        <v>0</v>
      </c>
      <c r="M25" s="123">
        <f>+L25/'[2]Data Entry'!$C$11</f>
        <v>0</v>
      </c>
      <c r="N25" s="125">
        <f t="shared" si="3"/>
        <v>0</v>
      </c>
      <c r="O25" s="134">
        <f>+L25*(1+$L$7)</f>
        <v>0</v>
      </c>
      <c r="P25" s="123">
        <f>+O25/'[2]Data Entry'!$C$11</f>
        <v>0</v>
      </c>
      <c r="Q25" s="125">
        <f t="shared" si="4"/>
        <v>0</v>
      </c>
      <c r="R25" s="134">
        <f>+O25*(1+$L$7)</f>
        <v>0</v>
      </c>
      <c r="S25" s="123">
        <f>+R25/'[2]Data Entry'!$C$11</f>
        <v>0</v>
      </c>
      <c r="T25" s="125">
        <f t="shared" si="5"/>
        <v>0</v>
      </c>
      <c r="U25" s="134">
        <f>+R25*(1+$L$7)</f>
        <v>0</v>
      </c>
      <c r="V25" s="123">
        <f>+U25/'[2]Data Entry'!$C$11</f>
        <v>0</v>
      </c>
      <c r="W25" s="125">
        <f t="shared" si="6"/>
        <v>0</v>
      </c>
      <c r="X25" s="134">
        <f>+U25*(1+$L$7)</f>
        <v>0</v>
      </c>
      <c r="Y25" s="123">
        <f>+X25/'[2]Data Entry'!$C$11</f>
        <v>0</v>
      </c>
      <c r="Z25" s="48">
        <f t="shared" si="7"/>
        <v>0</v>
      </c>
      <c r="AB25" s="127"/>
      <c r="AD25" s="127"/>
      <c r="AF25" s="127"/>
      <c r="AH25" s="127"/>
      <c r="AJ25" s="127"/>
      <c r="AK25" s="135"/>
    </row>
    <row r="26" spans="2:37">
      <c r="B26" s="146" t="s">
        <v>245</v>
      </c>
      <c r="C26" s="130">
        <v>0</v>
      </c>
      <c r="D26" s="119">
        <f t="shared" si="0"/>
        <v>0</v>
      </c>
      <c r="E26" s="131">
        <f t="shared" si="8"/>
        <v>0</v>
      </c>
      <c r="F26" s="121">
        <f t="shared" si="1"/>
        <v>0</v>
      </c>
      <c r="G26" s="120">
        <f t="shared" si="9"/>
        <v>0</v>
      </c>
      <c r="H26" s="119"/>
      <c r="I26" s="133">
        <f>-$L$5*I21</f>
        <v>0</v>
      </c>
      <c r="J26" s="123">
        <f>+I26/'[2]Data Entry'!$C$11</f>
        <v>0</v>
      </c>
      <c r="K26" s="48">
        <f t="shared" si="2"/>
        <v>0</v>
      </c>
      <c r="L26" s="133">
        <f>-$L$5*L21</f>
        <v>0</v>
      </c>
      <c r="M26" s="123">
        <f>+L26/'[2]Data Entry'!$C$11</f>
        <v>0</v>
      </c>
      <c r="N26" s="125">
        <f t="shared" si="3"/>
        <v>0</v>
      </c>
      <c r="O26" s="134">
        <f>-$L$5*O21</f>
        <v>0</v>
      </c>
      <c r="P26" s="123">
        <f>+O26/'[2]Data Entry'!$C$11</f>
        <v>0</v>
      </c>
      <c r="Q26" s="125">
        <f t="shared" si="4"/>
        <v>0</v>
      </c>
      <c r="R26" s="134">
        <f>-$L$5*R21</f>
        <v>0</v>
      </c>
      <c r="S26" s="123">
        <f>+R26/'[2]Data Entry'!$C$11</f>
        <v>0</v>
      </c>
      <c r="T26" s="125">
        <f t="shared" si="5"/>
        <v>0</v>
      </c>
      <c r="U26" s="134">
        <f>-$L$5*U21</f>
        <v>0</v>
      </c>
      <c r="V26" s="123">
        <f>+U26/'[2]Data Entry'!$C$11</f>
        <v>0</v>
      </c>
      <c r="W26" s="125">
        <f t="shared" si="6"/>
        <v>0</v>
      </c>
      <c r="X26" s="134">
        <f>-$L$5*X21</f>
        <v>0</v>
      </c>
      <c r="Y26" s="123">
        <f>+X26/'[2]Data Entry'!$C$11</f>
        <v>0</v>
      </c>
      <c r="Z26" s="48">
        <f t="shared" si="7"/>
        <v>0</v>
      </c>
      <c r="AB26" s="127"/>
      <c r="AD26" s="127"/>
      <c r="AF26" s="127"/>
      <c r="AH26" s="127"/>
      <c r="AJ26" s="127"/>
      <c r="AK26" s="135"/>
    </row>
    <row r="27" spans="2:37">
      <c r="B27" s="146" t="s">
        <v>246</v>
      </c>
      <c r="C27" s="130">
        <f>'IS (Combined)'!D15</f>
        <v>-15129.85</v>
      </c>
      <c r="D27" s="119">
        <f t="shared" si="0"/>
        <v>-1.6479534056541897E-2</v>
      </c>
      <c r="E27" s="131">
        <f t="shared" si="8"/>
        <v>0</v>
      </c>
      <c r="F27" s="121">
        <f t="shared" si="1"/>
        <v>0</v>
      </c>
      <c r="G27" s="120">
        <f t="shared" si="9"/>
        <v>-15129.85</v>
      </c>
      <c r="H27" s="119"/>
      <c r="I27" s="130">
        <v>0</v>
      </c>
      <c r="J27" s="123">
        <f>+I27/'[2]Data Entry'!$C$11</f>
        <v>0</v>
      </c>
      <c r="K27" s="48">
        <f t="shared" si="2"/>
        <v>0</v>
      </c>
      <c r="L27" s="130">
        <v>0</v>
      </c>
      <c r="M27" s="123">
        <f>+L27/'[2]Data Entry'!$C$11</f>
        <v>0</v>
      </c>
      <c r="N27" s="125">
        <f t="shared" si="3"/>
        <v>0</v>
      </c>
      <c r="O27" s="131">
        <v>0</v>
      </c>
      <c r="P27" s="123">
        <f>+O27/'[2]Data Entry'!$C$11</f>
        <v>0</v>
      </c>
      <c r="Q27" s="125">
        <f t="shared" si="4"/>
        <v>0</v>
      </c>
      <c r="R27" s="131">
        <v>0</v>
      </c>
      <c r="S27" s="123">
        <f>+R27/'[2]Data Entry'!$C$11</f>
        <v>0</v>
      </c>
      <c r="T27" s="125">
        <f t="shared" si="5"/>
        <v>0</v>
      </c>
      <c r="U27" s="134">
        <f>+R27</f>
        <v>0</v>
      </c>
      <c r="V27" s="123">
        <f>+U27/'[2]Data Entry'!$C$11</f>
        <v>0</v>
      </c>
      <c r="W27" s="125">
        <f t="shared" si="6"/>
        <v>0</v>
      </c>
      <c r="X27" s="134">
        <f>+U27</f>
        <v>0</v>
      </c>
      <c r="Y27" s="123">
        <f>+X27/'[2]Data Entry'!$C$11</f>
        <v>0</v>
      </c>
      <c r="Z27" s="48">
        <f t="shared" si="7"/>
        <v>0</v>
      </c>
      <c r="AB27" s="127"/>
      <c r="AD27" s="127"/>
      <c r="AF27" s="127"/>
      <c r="AH27" s="127"/>
      <c r="AJ27" s="127"/>
      <c r="AK27" s="135"/>
    </row>
    <row r="28" spans="2:37">
      <c r="B28" s="146" t="s">
        <v>247</v>
      </c>
      <c r="C28" s="130">
        <v>0</v>
      </c>
      <c r="D28" s="119">
        <f t="shared" si="0"/>
        <v>0</v>
      </c>
      <c r="E28" s="131">
        <f t="shared" si="8"/>
        <v>0</v>
      </c>
      <c r="F28" s="121">
        <f t="shared" si="1"/>
        <v>0</v>
      </c>
      <c r="G28" s="120">
        <f t="shared" si="9"/>
        <v>0</v>
      </c>
      <c r="H28" s="119"/>
      <c r="I28" s="130">
        <v>0</v>
      </c>
      <c r="J28" s="123">
        <f>+I28/'[2]Data Entry'!$C$11</f>
        <v>0</v>
      </c>
      <c r="K28" s="48">
        <f t="shared" si="2"/>
        <v>0</v>
      </c>
      <c r="L28" s="130">
        <f>+I28</f>
        <v>0</v>
      </c>
      <c r="M28" s="123">
        <f>+L28/'[2]Data Entry'!$C$11</f>
        <v>0</v>
      </c>
      <c r="N28" s="125">
        <f t="shared" si="3"/>
        <v>0</v>
      </c>
      <c r="O28" s="131">
        <f>+L28</f>
        <v>0</v>
      </c>
      <c r="P28" s="123">
        <f>+O28/'[2]Data Entry'!$C$11</f>
        <v>0</v>
      </c>
      <c r="Q28" s="125">
        <f t="shared" si="4"/>
        <v>0</v>
      </c>
      <c r="R28" s="131">
        <v>0</v>
      </c>
      <c r="S28" s="123">
        <f>+R28/'[2]Data Entry'!$C$11</f>
        <v>0</v>
      </c>
      <c r="T28" s="125">
        <f t="shared" si="5"/>
        <v>0</v>
      </c>
      <c r="U28" s="131">
        <v>0</v>
      </c>
      <c r="V28" s="123">
        <f>+U28/'[2]Data Entry'!$C$11</f>
        <v>0</v>
      </c>
      <c r="W28" s="125">
        <f t="shared" si="6"/>
        <v>0</v>
      </c>
      <c r="X28" s="131">
        <v>0</v>
      </c>
      <c r="Y28" s="123">
        <f>+X28/'[2]Data Entry'!$C$11</f>
        <v>0</v>
      </c>
      <c r="Z28" s="48">
        <f t="shared" si="7"/>
        <v>0</v>
      </c>
      <c r="AB28" s="127"/>
      <c r="AD28" s="127"/>
      <c r="AF28" s="127"/>
      <c r="AH28" s="127"/>
      <c r="AJ28" s="127"/>
      <c r="AK28" s="135"/>
    </row>
    <row r="29" spans="2:37">
      <c r="B29" s="147" t="s">
        <v>248</v>
      </c>
      <c r="C29" s="130">
        <v>0</v>
      </c>
      <c r="D29" s="119">
        <f t="shared" si="0"/>
        <v>0</v>
      </c>
      <c r="E29" s="131">
        <f t="shared" si="8"/>
        <v>0</v>
      </c>
      <c r="F29" s="121">
        <f t="shared" si="1"/>
        <v>0</v>
      </c>
      <c r="G29" s="120">
        <f t="shared" si="9"/>
        <v>0</v>
      </c>
      <c r="H29" s="119"/>
      <c r="I29" s="130">
        <v>0</v>
      </c>
      <c r="J29" s="123">
        <f>+I29/'[2]Data Entry'!$C$11</f>
        <v>0</v>
      </c>
      <c r="K29" s="48">
        <f t="shared" si="2"/>
        <v>0</v>
      </c>
      <c r="L29" s="130">
        <v>0</v>
      </c>
      <c r="M29" s="123">
        <f>+L29/'[2]Data Entry'!$C$11</f>
        <v>0</v>
      </c>
      <c r="N29" s="125">
        <f t="shared" si="3"/>
        <v>0</v>
      </c>
      <c r="O29" s="131">
        <v>0</v>
      </c>
      <c r="P29" s="123">
        <f>+O29/'[2]Data Entry'!$C$11</f>
        <v>0</v>
      </c>
      <c r="Q29" s="125">
        <f t="shared" si="4"/>
        <v>0</v>
      </c>
      <c r="R29" s="131">
        <v>0</v>
      </c>
      <c r="S29" s="123">
        <f>+R29/'[2]Data Entry'!$C$11</f>
        <v>0</v>
      </c>
      <c r="T29" s="125">
        <f t="shared" si="5"/>
        <v>0</v>
      </c>
      <c r="U29" s="131">
        <v>0</v>
      </c>
      <c r="V29" s="123">
        <f>+U29/'[2]Data Entry'!$C$11</f>
        <v>0</v>
      </c>
      <c r="W29" s="125"/>
      <c r="X29" s="131">
        <v>0</v>
      </c>
      <c r="Y29" s="123">
        <f>+X29/'[2]Data Entry'!$C$11</f>
        <v>0</v>
      </c>
      <c r="Z29" s="48">
        <f t="shared" si="7"/>
        <v>0</v>
      </c>
      <c r="AB29" s="127"/>
      <c r="AD29" s="127"/>
      <c r="AF29" s="127"/>
      <c r="AH29" s="127"/>
      <c r="AJ29" s="127"/>
      <c r="AK29" s="135"/>
    </row>
    <row r="30" spans="2:37">
      <c r="B30" s="147" t="s">
        <v>248</v>
      </c>
      <c r="C30" s="130">
        <v>0</v>
      </c>
      <c r="D30" s="119">
        <f t="shared" si="0"/>
        <v>0</v>
      </c>
      <c r="E30" s="131">
        <f t="shared" si="8"/>
        <v>0</v>
      </c>
      <c r="F30" s="121">
        <f t="shared" si="1"/>
        <v>0</v>
      </c>
      <c r="G30" s="120">
        <f t="shared" si="9"/>
        <v>0</v>
      </c>
      <c r="H30" s="119"/>
      <c r="I30" s="130">
        <v>0</v>
      </c>
      <c r="J30" s="123">
        <f>+I30/'[2]Data Entry'!$C$11</f>
        <v>0</v>
      </c>
      <c r="K30" s="48">
        <f t="shared" si="2"/>
        <v>0</v>
      </c>
      <c r="L30" s="130">
        <v>0</v>
      </c>
      <c r="M30" s="123">
        <f>+L30/'[2]Data Entry'!$C$11</f>
        <v>0</v>
      </c>
      <c r="N30" s="125">
        <f t="shared" si="3"/>
        <v>0</v>
      </c>
      <c r="O30" s="131">
        <v>0</v>
      </c>
      <c r="P30" s="123">
        <f>+O30/'[2]Data Entry'!$C$11</f>
        <v>0</v>
      </c>
      <c r="Q30" s="125">
        <f t="shared" si="4"/>
        <v>0</v>
      </c>
      <c r="R30" s="131">
        <v>0</v>
      </c>
      <c r="S30" s="123">
        <f>+R30/'[2]Data Entry'!$C$11</f>
        <v>0</v>
      </c>
      <c r="T30" s="125">
        <f t="shared" si="5"/>
        <v>0</v>
      </c>
      <c r="U30" s="131">
        <v>0</v>
      </c>
      <c r="V30" s="123">
        <f>+U30/'[2]Data Entry'!$C$11</f>
        <v>0</v>
      </c>
      <c r="W30" s="125"/>
      <c r="X30" s="131">
        <v>0</v>
      </c>
      <c r="Y30" s="123">
        <f>+X30/'[2]Data Entry'!$C$11</f>
        <v>0</v>
      </c>
      <c r="Z30" s="48">
        <f t="shared" si="7"/>
        <v>0</v>
      </c>
      <c r="AB30" s="127"/>
      <c r="AD30" s="127"/>
      <c r="AF30" s="127"/>
      <c r="AH30" s="127"/>
      <c r="AJ30" s="127"/>
      <c r="AK30" s="135"/>
    </row>
    <row r="31" spans="2:37">
      <c r="B31" s="147" t="s">
        <v>248</v>
      </c>
      <c r="C31" s="130">
        <v>0</v>
      </c>
      <c r="D31" s="119">
        <f t="shared" si="0"/>
        <v>0</v>
      </c>
      <c r="E31" s="131">
        <f t="shared" si="8"/>
        <v>0</v>
      </c>
      <c r="F31" s="121">
        <f t="shared" si="1"/>
        <v>0</v>
      </c>
      <c r="G31" s="120">
        <f t="shared" si="9"/>
        <v>0</v>
      </c>
      <c r="H31" s="119"/>
      <c r="I31" s="130">
        <v>0</v>
      </c>
      <c r="J31" s="123">
        <f>+I31/'[2]Data Entry'!$C$11</f>
        <v>0</v>
      </c>
      <c r="K31" s="48">
        <f t="shared" si="2"/>
        <v>0</v>
      </c>
      <c r="L31" s="130">
        <v>0</v>
      </c>
      <c r="M31" s="123">
        <f>+L31/'[2]Data Entry'!$C$11</f>
        <v>0</v>
      </c>
      <c r="N31" s="125">
        <f t="shared" si="3"/>
        <v>0</v>
      </c>
      <c r="O31" s="131">
        <v>0</v>
      </c>
      <c r="P31" s="123">
        <f>+O31/'[2]Data Entry'!$C$11</f>
        <v>0</v>
      </c>
      <c r="Q31" s="125">
        <f t="shared" si="4"/>
        <v>0</v>
      </c>
      <c r="R31" s="131">
        <v>0</v>
      </c>
      <c r="S31" s="123">
        <f>+R31/'[2]Data Entry'!$C$11</f>
        <v>0</v>
      </c>
      <c r="T31" s="125">
        <f t="shared" si="5"/>
        <v>0</v>
      </c>
      <c r="U31" s="131">
        <v>0</v>
      </c>
      <c r="V31" s="123">
        <f>+U31/'[2]Data Entry'!$C$11</f>
        <v>0</v>
      </c>
      <c r="W31" s="125"/>
      <c r="X31" s="131">
        <v>0</v>
      </c>
      <c r="Y31" s="123">
        <f>+X31/'[2]Data Entry'!$C$11</f>
        <v>0</v>
      </c>
      <c r="Z31" s="48">
        <f t="shared" si="7"/>
        <v>0</v>
      </c>
      <c r="AB31" s="127"/>
      <c r="AD31" s="127"/>
      <c r="AF31" s="127"/>
      <c r="AH31" s="127"/>
      <c r="AJ31" s="127"/>
      <c r="AK31" s="135"/>
    </row>
    <row r="32" spans="2:37">
      <c r="B32" s="147" t="s">
        <v>248</v>
      </c>
      <c r="C32" s="130">
        <v>0</v>
      </c>
      <c r="D32" s="119">
        <f t="shared" si="0"/>
        <v>0</v>
      </c>
      <c r="E32" s="131">
        <f t="shared" si="8"/>
        <v>0</v>
      </c>
      <c r="F32" s="121">
        <f t="shared" si="1"/>
        <v>0</v>
      </c>
      <c r="G32" s="120">
        <f t="shared" si="9"/>
        <v>0</v>
      </c>
      <c r="H32" s="119"/>
      <c r="I32" s="130">
        <v>0</v>
      </c>
      <c r="J32" s="123">
        <f>+I32/'[2]Data Entry'!$C$11</f>
        <v>0</v>
      </c>
      <c r="K32" s="48">
        <f t="shared" si="2"/>
        <v>0</v>
      </c>
      <c r="L32" s="130">
        <v>0</v>
      </c>
      <c r="M32" s="123">
        <f>+L32/'[2]Data Entry'!$C$11</f>
        <v>0</v>
      </c>
      <c r="N32" s="125">
        <f>+L32/$L$85</f>
        <v>0</v>
      </c>
      <c r="O32" s="131">
        <v>0</v>
      </c>
      <c r="P32" s="123">
        <f>+O32/'[2]Data Entry'!$C$11</f>
        <v>0</v>
      </c>
      <c r="Q32" s="125">
        <f>+O32/$O$85</f>
        <v>0</v>
      </c>
      <c r="R32" s="131">
        <v>0</v>
      </c>
      <c r="S32" s="123">
        <f>+R32/'[2]Data Entry'!$C$11</f>
        <v>0</v>
      </c>
      <c r="T32" s="125">
        <f>+R32/$R$85</f>
        <v>0</v>
      </c>
      <c r="U32" s="131">
        <v>0</v>
      </c>
      <c r="V32" s="123">
        <f>+U32/'[2]Data Entry'!$C$11</f>
        <v>0</v>
      </c>
      <c r="W32" s="125">
        <f>+U32/$U$85</f>
        <v>0</v>
      </c>
      <c r="X32" s="131">
        <v>0</v>
      </c>
      <c r="Y32" s="123">
        <f>+X32/'[2]Data Entry'!$C$11</f>
        <v>0</v>
      </c>
      <c r="Z32" s="48">
        <f>+X32/$X$85</f>
        <v>0</v>
      </c>
      <c r="AB32" s="127"/>
      <c r="AD32" s="127"/>
      <c r="AF32" s="127"/>
      <c r="AH32" s="127"/>
      <c r="AJ32" s="127"/>
      <c r="AK32" s="135"/>
    </row>
    <row r="33" spans="2:37">
      <c r="B33" s="129" t="s">
        <v>249</v>
      </c>
      <c r="C33" s="136">
        <f>SUM(C22:C32)</f>
        <v>-69358.17</v>
      </c>
      <c r="D33" s="148">
        <f t="shared" si="0"/>
        <v>-7.554538376880289E-2</v>
      </c>
      <c r="E33" s="138">
        <f>SUM(E22:E32)</f>
        <v>-67310.040000000008</v>
      </c>
      <c r="F33" s="139">
        <f t="shared" si="1"/>
        <v>-7.1083511026164392E-2</v>
      </c>
      <c r="G33" s="138">
        <f>SUM(G22:G32)</f>
        <v>-2048.1299999999992</v>
      </c>
      <c r="H33" s="137"/>
      <c r="I33" s="136">
        <f>SUM(I22:I32)</f>
        <v>-134620.08000000002</v>
      </c>
      <c r="J33" s="140">
        <f>+I33/'[2]Data Entry'!$C$11</f>
        <v>-1641.7082926829271</v>
      </c>
      <c r="K33" s="141">
        <f t="shared" si="2"/>
        <v>-7.1083511026164392E-2</v>
      </c>
      <c r="L33" s="136">
        <f>SUM(L22:L32)</f>
        <v>-147066.50874146342</v>
      </c>
      <c r="M33" s="140">
        <f>+L33/'[2]Data Entry'!$C$11</f>
        <v>-1793.4940090422367</v>
      </c>
      <c r="N33" s="142">
        <f>+L33/$L$85</f>
        <v>-6.9643063986879888E-2</v>
      </c>
      <c r="O33" s="138">
        <f>SUM(O22:O32)</f>
        <v>-159586.05083297563</v>
      </c>
      <c r="P33" s="140">
        <f>+O33/'[2]Data Entry'!$C$11</f>
        <v>-1946.1713516216539</v>
      </c>
      <c r="Q33" s="142">
        <f>+O33/$O$85</f>
        <v>-6.849318047587992E-2</v>
      </c>
      <c r="R33" s="138">
        <f>SUM(R22:R32)</f>
        <v>-172481.17918723321</v>
      </c>
      <c r="S33" s="140">
        <f>+R33/'[2]Data Entry'!$C$11</f>
        <v>-2103.4290144784536</v>
      </c>
      <c r="T33" s="142">
        <f>+R33/$R$85</f>
        <v>-6.8899492463568746E-2</v>
      </c>
      <c r="U33" s="138">
        <f>SUM(U22:U32)</f>
        <v>-177655.61456285021</v>
      </c>
      <c r="V33" s="140">
        <f>+U33/'[2]Data Entry'!$C$11</f>
        <v>-2166.5318849128075</v>
      </c>
      <c r="W33" s="142">
        <f>+U33/$U$85</f>
        <v>-6.901288938965798E-2</v>
      </c>
      <c r="X33" s="138">
        <f>SUM(X22:X32)</f>
        <v>-182985.2829997357</v>
      </c>
      <c r="Y33" s="140">
        <f>+X33/'[2]Data Entry'!$C$11</f>
        <v>-2231.5278414601917</v>
      </c>
      <c r="Z33" s="141">
        <f>+X33/$X$85</f>
        <v>-6.9124447482562426E-2</v>
      </c>
      <c r="AB33" s="127"/>
      <c r="AD33" s="127"/>
      <c r="AF33" s="127"/>
      <c r="AH33" s="127"/>
      <c r="AJ33" s="127"/>
      <c r="AK33" s="135"/>
    </row>
    <row r="34" spans="2:37">
      <c r="B34" s="117" t="s">
        <v>250</v>
      </c>
      <c r="C34" s="136">
        <f>+C21+C33</f>
        <v>830313.64</v>
      </c>
      <c r="D34" s="137">
        <f t="shared" si="0"/>
        <v>0.90438318344142654</v>
      </c>
      <c r="E34" s="138">
        <f>+E21+E33</f>
        <v>894261.96</v>
      </c>
      <c r="F34" s="139">
        <f t="shared" si="1"/>
        <v>0.94439521791904102</v>
      </c>
      <c r="G34" s="138">
        <f>+G21+G33</f>
        <v>-63948.319999999942</v>
      </c>
      <c r="H34" s="137"/>
      <c r="I34" s="149">
        <f>+I21+I33</f>
        <v>1788523.92</v>
      </c>
      <c r="J34" s="140">
        <f>+I34/'[2]Data Entry'!$C$11</f>
        <v>21811.267317073169</v>
      </c>
      <c r="K34" s="141">
        <f t="shared" si="2"/>
        <v>0.94439521791904102</v>
      </c>
      <c r="L34" s="136">
        <f>+L21+L33</f>
        <v>1953883.6161365854</v>
      </c>
      <c r="M34" s="140">
        <f>+L34/'[2]Data Entry'!$C$11</f>
        <v>23827.848977275433</v>
      </c>
      <c r="N34" s="142">
        <f>+L34/$L$85</f>
        <v>0.92525785011140416</v>
      </c>
      <c r="O34" s="138">
        <f>+O21+O33</f>
        <v>2120214.6753523904</v>
      </c>
      <c r="P34" s="140">
        <f>+O34/'[2]Data Entry'!$C$11</f>
        <v>25856.276528687689</v>
      </c>
      <c r="Q34" s="142">
        <f>+O34/$O$85</f>
        <v>0.90998082632240462</v>
      </c>
      <c r="R34" s="138">
        <f>+R21+R33</f>
        <v>2291535.6663446696</v>
      </c>
      <c r="S34" s="140">
        <f>+R34/'[2]Data Entry'!$C$11</f>
        <v>27945.556906642312</v>
      </c>
      <c r="T34" s="142">
        <f>+R34/$R$85</f>
        <v>0.91537897130169898</v>
      </c>
      <c r="U34" s="138">
        <f>+U21+U33</f>
        <v>2360281.7363350093</v>
      </c>
      <c r="V34" s="140">
        <f>+U34/'[2]Data Entry'!$C$11</f>
        <v>28783.923613841576</v>
      </c>
      <c r="W34" s="142">
        <f>+U34/$U$85</f>
        <v>0.91688553046259869</v>
      </c>
      <c r="X34" s="138">
        <f>+X21+X33</f>
        <v>2431090.1884250599</v>
      </c>
      <c r="Y34" s="140">
        <f>+X34/'[2]Data Entry'!$C$11</f>
        <v>29647.441322256829</v>
      </c>
      <c r="Z34" s="141">
        <f>+X34/$X$85</f>
        <v>0.91836765941118637</v>
      </c>
      <c r="AB34" s="127"/>
      <c r="AD34" s="127"/>
      <c r="AF34" s="127"/>
      <c r="AH34" s="127"/>
      <c r="AJ34" s="127"/>
      <c r="AK34" s="135"/>
    </row>
    <row r="35" spans="2:37">
      <c r="B35" s="150"/>
      <c r="C35" s="151"/>
      <c r="D35" s="119"/>
      <c r="E35" s="152"/>
      <c r="F35" s="121"/>
      <c r="G35" s="119"/>
      <c r="H35" s="119"/>
      <c r="I35" s="151"/>
      <c r="J35" s="153"/>
      <c r="K35" s="48"/>
      <c r="L35" s="151"/>
      <c r="M35" s="153"/>
      <c r="N35" s="125"/>
      <c r="O35" s="152"/>
      <c r="P35" s="153"/>
      <c r="Q35" s="125"/>
      <c r="R35" s="152"/>
      <c r="S35" s="154"/>
      <c r="T35" s="125"/>
      <c r="U35" s="152"/>
      <c r="V35" s="154"/>
      <c r="W35" s="125"/>
      <c r="X35" s="152"/>
      <c r="Y35" s="154"/>
      <c r="Z35" s="48"/>
      <c r="AB35" s="127"/>
      <c r="AD35" s="127"/>
      <c r="AF35" s="127"/>
      <c r="AH35" s="127"/>
      <c r="AJ35" s="127"/>
      <c r="AK35" s="135"/>
    </row>
    <row r="36" spans="2:37">
      <c r="B36" s="117" t="s">
        <v>251</v>
      </c>
      <c r="C36" s="124"/>
      <c r="D36" s="119"/>
      <c r="E36" s="46"/>
      <c r="F36" s="121"/>
      <c r="G36" s="119"/>
      <c r="H36" s="119"/>
      <c r="I36" s="124"/>
      <c r="J36" s="47"/>
      <c r="K36" s="48"/>
      <c r="L36" s="124"/>
      <c r="M36" s="47"/>
      <c r="N36" s="125"/>
      <c r="O36" s="46"/>
      <c r="P36" s="47"/>
      <c r="Q36" s="125"/>
      <c r="R36" s="46"/>
      <c r="S36" s="155"/>
      <c r="T36" s="125"/>
      <c r="V36" s="155"/>
      <c r="W36" s="125"/>
      <c r="Y36" s="155"/>
      <c r="Z36" s="48"/>
      <c r="AB36" s="127"/>
      <c r="AD36" s="127"/>
      <c r="AF36" s="127"/>
      <c r="AH36" s="127"/>
      <c r="AJ36" s="127"/>
      <c r="AK36" s="135"/>
    </row>
    <row r="37" spans="2:37">
      <c r="B37" s="129" t="s">
        <v>252</v>
      </c>
      <c r="C37" s="156">
        <v>0</v>
      </c>
      <c r="D37" s="119">
        <f t="shared" ref="D37:D83" si="10">+C37/$C$85</f>
        <v>0</v>
      </c>
      <c r="E37" s="157">
        <f>I37/2</f>
        <v>0</v>
      </c>
      <c r="F37" s="121">
        <f t="shared" ref="F37:F83" si="11">+E37/$E$85</f>
        <v>0</v>
      </c>
      <c r="G37" s="120">
        <f t="shared" ref="G37:G82" si="12">C37-E37</f>
        <v>0</v>
      </c>
      <c r="H37" s="119"/>
      <c r="I37" s="158">
        <v>0</v>
      </c>
      <c r="J37" s="123">
        <f>+I37/'[2]Data Entry'!$C$11</f>
        <v>0</v>
      </c>
      <c r="K37" s="48">
        <f t="shared" ref="K37:K82" si="13">+I37/$I$85</f>
        <v>0</v>
      </c>
      <c r="L37" s="159">
        <f>+I37*(1+$L$8)</f>
        <v>0</v>
      </c>
      <c r="M37" s="123">
        <f>+L37/'[2]Data Entry'!$C$11</f>
        <v>0</v>
      </c>
      <c r="N37" s="125">
        <f t="shared" ref="N37:N82" si="14">+L37/$L$85</f>
        <v>0</v>
      </c>
      <c r="O37" s="160">
        <f t="shared" ref="O37:O64" si="15">+L37*(1+$L$8)</f>
        <v>0</v>
      </c>
      <c r="P37" s="123">
        <f>+O37/'[2]Data Entry'!$C$11</f>
        <v>0</v>
      </c>
      <c r="Q37" s="125">
        <f t="shared" ref="Q37:Q82" si="16">+O37/$O$85</f>
        <v>0</v>
      </c>
      <c r="R37" s="160">
        <f t="shared" ref="R37:R82" si="17">+O37*(1+$L$8)</f>
        <v>0</v>
      </c>
      <c r="S37" s="123">
        <f>+R37/'[2]Data Entry'!$C$11</f>
        <v>0</v>
      </c>
      <c r="T37" s="125">
        <f t="shared" ref="T37:T82" si="18">+R37/$R$85</f>
        <v>0</v>
      </c>
      <c r="U37" s="160">
        <f t="shared" ref="U37:U82" si="19">+R37*(1+$L$8)</f>
        <v>0</v>
      </c>
      <c r="V37" s="123">
        <f>+U37/'[2]Data Entry'!$C$11</f>
        <v>0</v>
      </c>
      <c r="W37" s="125">
        <f t="shared" ref="W37:W82" si="20">+U37/$U$85</f>
        <v>0</v>
      </c>
      <c r="X37" s="160">
        <f t="shared" ref="X37:X82" si="21">+U37*(1+$L$8)</f>
        <v>0</v>
      </c>
      <c r="Y37" s="123">
        <f>+X37/'[2]Data Entry'!$C$11</f>
        <v>0</v>
      </c>
      <c r="Z37" s="48">
        <f t="shared" ref="Z37:Z82" si="22">+X37/$X$85</f>
        <v>0</v>
      </c>
      <c r="AB37" s="127"/>
      <c r="AD37" s="127"/>
      <c r="AF37" s="127"/>
      <c r="AH37" s="127"/>
      <c r="AJ37" s="127"/>
      <c r="AK37" s="135"/>
    </row>
    <row r="38" spans="2:37">
      <c r="B38" s="129" t="s">
        <v>253</v>
      </c>
      <c r="C38" s="156">
        <v>0</v>
      </c>
      <c r="D38" s="119">
        <f t="shared" si="10"/>
        <v>0</v>
      </c>
      <c r="E38" s="157">
        <f t="shared" ref="E38:E82" si="23">I38/2</f>
        <v>0</v>
      </c>
      <c r="F38" s="121">
        <f t="shared" si="11"/>
        <v>0</v>
      </c>
      <c r="G38" s="120">
        <f t="shared" si="12"/>
        <v>0</v>
      </c>
      <c r="H38" s="119"/>
      <c r="I38" s="156">
        <v>0</v>
      </c>
      <c r="J38" s="123">
        <f>+I38/'[2]Data Entry'!$C$11</f>
        <v>0</v>
      </c>
      <c r="K38" s="48">
        <f t="shared" si="13"/>
        <v>0</v>
      </c>
      <c r="L38" s="159">
        <f t="shared" ref="L38:L64" si="24">+I38*(1+$L$8)</f>
        <v>0</v>
      </c>
      <c r="M38" s="123">
        <f>+L38/'[2]Data Entry'!$C$11</f>
        <v>0</v>
      </c>
      <c r="N38" s="125">
        <f t="shared" si="14"/>
        <v>0</v>
      </c>
      <c r="O38" s="160">
        <f t="shared" si="15"/>
        <v>0</v>
      </c>
      <c r="P38" s="123">
        <f>+O38/'[2]Data Entry'!$C$11</f>
        <v>0</v>
      </c>
      <c r="Q38" s="125">
        <f t="shared" si="16"/>
        <v>0</v>
      </c>
      <c r="R38" s="160">
        <f t="shared" si="17"/>
        <v>0</v>
      </c>
      <c r="S38" s="123">
        <f>+R38/'[2]Data Entry'!$C$11</f>
        <v>0</v>
      </c>
      <c r="T38" s="125">
        <f t="shared" si="18"/>
        <v>0</v>
      </c>
      <c r="U38" s="160">
        <f t="shared" si="19"/>
        <v>0</v>
      </c>
      <c r="V38" s="123">
        <f>+U38/'[2]Data Entry'!$C$11</f>
        <v>0</v>
      </c>
      <c r="W38" s="125">
        <f t="shared" si="20"/>
        <v>0</v>
      </c>
      <c r="X38" s="160">
        <f t="shared" si="21"/>
        <v>0</v>
      </c>
      <c r="Y38" s="123">
        <f>+X38/'[2]Data Entry'!$C$11</f>
        <v>0</v>
      </c>
      <c r="Z38" s="48">
        <f t="shared" si="22"/>
        <v>0</v>
      </c>
      <c r="AB38" s="127"/>
      <c r="AD38" s="127"/>
      <c r="AF38" s="127"/>
      <c r="AH38" s="127"/>
      <c r="AJ38" s="127"/>
      <c r="AK38" s="135"/>
    </row>
    <row r="39" spans="2:37">
      <c r="B39" s="129" t="s">
        <v>254</v>
      </c>
      <c r="C39" s="156">
        <v>0</v>
      </c>
      <c r="D39" s="119">
        <f t="shared" si="10"/>
        <v>0</v>
      </c>
      <c r="E39" s="157">
        <f t="shared" si="23"/>
        <v>0</v>
      </c>
      <c r="F39" s="121">
        <f t="shared" si="11"/>
        <v>0</v>
      </c>
      <c r="G39" s="120">
        <f t="shared" si="12"/>
        <v>0</v>
      </c>
      <c r="H39" s="119"/>
      <c r="I39" s="156">
        <v>0</v>
      </c>
      <c r="J39" s="123">
        <f>+I39/'[2]Data Entry'!$C$11</f>
        <v>0</v>
      </c>
      <c r="K39" s="48">
        <f t="shared" si="13"/>
        <v>0</v>
      </c>
      <c r="L39" s="159">
        <f t="shared" si="24"/>
        <v>0</v>
      </c>
      <c r="M39" s="123">
        <f>+L39/'[2]Data Entry'!$C$11</f>
        <v>0</v>
      </c>
      <c r="N39" s="125">
        <f t="shared" si="14"/>
        <v>0</v>
      </c>
      <c r="O39" s="160">
        <f t="shared" si="15"/>
        <v>0</v>
      </c>
      <c r="P39" s="123">
        <f>+O39/'[2]Data Entry'!$C$11</f>
        <v>0</v>
      </c>
      <c r="Q39" s="125">
        <f t="shared" si="16"/>
        <v>0</v>
      </c>
      <c r="R39" s="160">
        <f t="shared" si="17"/>
        <v>0</v>
      </c>
      <c r="S39" s="123">
        <f>+R39/'[2]Data Entry'!$C$11</f>
        <v>0</v>
      </c>
      <c r="T39" s="125">
        <f t="shared" si="18"/>
        <v>0</v>
      </c>
      <c r="U39" s="160">
        <f t="shared" si="19"/>
        <v>0</v>
      </c>
      <c r="V39" s="123">
        <f>+U39/'[2]Data Entry'!$C$11</f>
        <v>0</v>
      </c>
      <c r="W39" s="125">
        <f t="shared" si="20"/>
        <v>0</v>
      </c>
      <c r="X39" s="160">
        <f t="shared" si="21"/>
        <v>0</v>
      </c>
      <c r="Y39" s="123">
        <f>+X39/'[2]Data Entry'!$C$11</f>
        <v>0</v>
      </c>
      <c r="Z39" s="48">
        <f t="shared" si="22"/>
        <v>0</v>
      </c>
      <c r="AB39" s="127"/>
      <c r="AD39" s="127"/>
      <c r="AF39" s="127"/>
      <c r="AH39" s="127"/>
      <c r="AJ39" s="127"/>
      <c r="AK39" s="135"/>
    </row>
    <row r="40" spans="2:37">
      <c r="B40" s="129" t="s">
        <v>255</v>
      </c>
      <c r="C40" s="156">
        <f>'IS (Combined)'!D22</f>
        <v>1350</v>
      </c>
      <c r="D40" s="119">
        <f t="shared" si="10"/>
        <v>1.4704290509378189E-3</v>
      </c>
      <c r="E40" s="157">
        <f t="shared" si="23"/>
        <v>0</v>
      </c>
      <c r="F40" s="121">
        <f t="shared" si="11"/>
        <v>0</v>
      </c>
      <c r="G40" s="120">
        <f t="shared" si="12"/>
        <v>1350</v>
      </c>
      <c r="H40" s="119"/>
      <c r="I40" s="156">
        <v>0</v>
      </c>
      <c r="J40" s="123">
        <f>+I40/'[2]Data Entry'!$C$11</f>
        <v>0</v>
      </c>
      <c r="K40" s="48">
        <f t="shared" si="13"/>
        <v>0</v>
      </c>
      <c r="L40" s="159">
        <f t="shared" si="24"/>
        <v>0</v>
      </c>
      <c r="M40" s="123">
        <f>+L40/'[2]Data Entry'!$C$11</f>
        <v>0</v>
      </c>
      <c r="N40" s="125">
        <f t="shared" si="14"/>
        <v>0</v>
      </c>
      <c r="O40" s="160">
        <f t="shared" si="15"/>
        <v>0</v>
      </c>
      <c r="P40" s="123">
        <f>+O40/'[2]Data Entry'!$C$11</f>
        <v>0</v>
      </c>
      <c r="Q40" s="125">
        <f t="shared" si="16"/>
        <v>0</v>
      </c>
      <c r="R40" s="160">
        <f t="shared" si="17"/>
        <v>0</v>
      </c>
      <c r="S40" s="123">
        <f>+R40/'[2]Data Entry'!$C$11</f>
        <v>0</v>
      </c>
      <c r="T40" s="125">
        <f t="shared" si="18"/>
        <v>0</v>
      </c>
      <c r="U40" s="160">
        <f t="shared" si="19"/>
        <v>0</v>
      </c>
      <c r="V40" s="123">
        <f>+U40/'[2]Data Entry'!$C$11</f>
        <v>0</v>
      </c>
      <c r="W40" s="125">
        <f t="shared" si="20"/>
        <v>0</v>
      </c>
      <c r="X40" s="160">
        <f t="shared" si="21"/>
        <v>0</v>
      </c>
      <c r="Y40" s="123">
        <f>+X40/'[2]Data Entry'!$C$11</f>
        <v>0</v>
      </c>
      <c r="Z40" s="48">
        <f t="shared" si="22"/>
        <v>0</v>
      </c>
      <c r="AB40" s="127"/>
      <c r="AD40" s="127"/>
      <c r="AF40" s="127"/>
      <c r="AH40" s="127"/>
      <c r="AJ40" s="127"/>
      <c r="AK40" s="135"/>
    </row>
    <row r="41" spans="2:37">
      <c r="B41" s="129" t="s">
        <v>256</v>
      </c>
      <c r="C41" s="156">
        <f>'IS (Combined)'!D19</f>
        <v>2780.92</v>
      </c>
      <c r="D41" s="119">
        <f t="shared" si="10"/>
        <v>3.0289967083955553E-3</v>
      </c>
      <c r="E41" s="157">
        <f t="shared" si="23"/>
        <v>233</v>
      </c>
      <c r="F41" s="121">
        <f t="shared" si="11"/>
        <v>2.4606222294766577E-4</v>
      </c>
      <c r="G41" s="120">
        <f t="shared" si="12"/>
        <v>2547.92</v>
      </c>
      <c r="H41" s="119"/>
      <c r="I41" s="156">
        <v>466</v>
      </c>
      <c r="J41" s="123">
        <f>+I41/'[2]Data Entry'!$C$11</f>
        <v>5.6829268292682924</v>
      </c>
      <c r="K41" s="48">
        <f t="shared" si="13"/>
        <v>2.4606222294766577E-4</v>
      </c>
      <c r="L41" s="159">
        <f t="shared" si="24"/>
        <v>470.66</v>
      </c>
      <c r="M41" s="123">
        <f>+L41/'[2]Data Entry'!$C$11</f>
        <v>5.739756097560976</v>
      </c>
      <c r="N41" s="125">
        <f t="shared" si="14"/>
        <v>2.2288014298134704E-4</v>
      </c>
      <c r="O41" s="160">
        <f t="shared" si="15"/>
        <v>475.36660000000001</v>
      </c>
      <c r="P41" s="123">
        <f>+O41/'[2]Data Entry'!$C$11</f>
        <v>5.797153658536585</v>
      </c>
      <c r="Q41" s="125">
        <f t="shared" si="16"/>
        <v>2.0402391158912998E-4</v>
      </c>
      <c r="R41" s="160">
        <f t="shared" si="17"/>
        <v>480.12026600000002</v>
      </c>
      <c r="S41" s="123">
        <f>+R41/'[2]Data Entry'!$C$11</f>
        <v>5.8551251951219516</v>
      </c>
      <c r="T41" s="125">
        <f t="shared" si="18"/>
        <v>1.9178928857486706E-4</v>
      </c>
      <c r="U41" s="160">
        <f t="shared" si="19"/>
        <v>484.92146866000002</v>
      </c>
      <c r="V41" s="123">
        <f>+U41/'[2]Data Entry'!$C$11</f>
        <v>5.9136764470731711</v>
      </c>
      <c r="W41" s="125">
        <f t="shared" si="20"/>
        <v>1.8837474831094454E-4</v>
      </c>
      <c r="X41" s="160">
        <f t="shared" si="21"/>
        <v>489.77068334660004</v>
      </c>
      <c r="Y41" s="123">
        <f>+X41/'[2]Data Entry'!$C$11</f>
        <v>5.9728132115439028</v>
      </c>
      <c r="Z41" s="48">
        <f t="shared" si="22"/>
        <v>1.8501557788961457E-4</v>
      </c>
      <c r="AB41" s="127"/>
      <c r="AD41" s="127"/>
      <c r="AF41" s="127"/>
      <c r="AH41" s="127"/>
      <c r="AJ41" s="127"/>
      <c r="AK41" s="135"/>
    </row>
    <row r="42" spans="2:37">
      <c r="B42" s="129" t="s">
        <v>257</v>
      </c>
      <c r="C42" s="156">
        <v>0</v>
      </c>
      <c r="D42" s="119">
        <f t="shared" si="10"/>
        <v>0</v>
      </c>
      <c r="E42" s="157">
        <f t="shared" si="23"/>
        <v>0</v>
      </c>
      <c r="F42" s="121">
        <f t="shared" si="11"/>
        <v>0</v>
      </c>
      <c r="G42" s="120">
        <f t="shared" si="12"/>
        <v>0</v>
      </c>
      <c r="H42" s="119"/>
      <c r="I42" s="156">
        <v>0</v>
      </c>
      <c r="J42" s="123">
        <f>+I42/'[2]Data Entry'!$C$11</f>
        <v>0</v>
      </c>
      <c r="K42" s="48">
        <f t="shared" si="13"/>
        <v>0</v>
      </c>
      <c r="L42" s="159">
        <f t="shared" si="24"/>
        <v>0</v>
      </c>
      <c r="M42" s="123">
        <f>+L42/'[2]Data Entry'!$C$11</f>
        <v>0</v>
      </c>
      <c r="N42" s="125">
        <f t="shared" si="14"/>
        <v>0</v>
      </c>
      <c r="O42" s="160">
        <f t="shared" si="15"/>
        <v>0</v>
      </c>
      <c r="P42" s="123">
        <f>+O42/'[2]Data Entry'!$C$11</f>
        <v>0</v>
      </c>
      <c r="Q42" s="125">
        <f t="shared" si="16"/>
        <v>0</v>
      </c>
      <c r="R42" s="160">
        <f t="shared" si="17"/>
        <v>0</v>
      </c>
      <c r="S42" s="123">
        <f>+R42/'[2]Data Entry'!$C$11</f>
        <v>0</v>
      </c>
      <c r="T42" s="125">
        <f t="shared" si="18"/>
        <v>0</v>
      </c>
      <c r="U42" s="160">
        <f t="shared" si="19"/>
        <v>0</v>
      </c>
      <c r="V42" s="123">
        <f>+U42/'[2]Data Entry'!$C$11</f>
        <v>0</v>
      </c>
      <c r="W42" s="125">
        <f t="shared" si="20"/>
        <v>0</v>
      </c>
      <c r="X42" s="160">
        <f t="shared" si="21"/>
        <v>0</v>
      </c>
      <c r="Y42" s="123">
        <f>+X42/'[2]Data Entry'!$C$11</f>
        <v>0</v>
      </c>
      <c r="Z42" s="48">
        <f t="shared" si="22"/>
        <v>0</v>
      </c>
      <c r="AB42" s="127"/>
      <c r="AD42" s="127"/>
      <c r="AF42" s="127"/>
      <c r="AH42" s="127"/>
      <c r="AJ42" s="127"/>
      <c r="AK42" s="135"/>
    </row>
    <row r="43" spans="2:37">
      <c r="B43" s="129" t="s">
        <v>258</v>
      </c>
      <c r="C43" s="156">
        <v>0</v>
      </c>
      <c r="D43" s="119">
        <f t="shared" si="10"/>
        <v>0</v>
      </c>
      <c r="E43" s="157">
        <f t="shared" si="23"/>
        <v>0</v>
      </c>
      <c r="F43" s="121">
        <f t="shared" si="11"/>
        <v>0</v>
      </c>
      <c r="G43" s="120">
        <f t="shared" si="12"/>
        <v>0</v>
      </c>
      <c r="H43" s="119"/>
      <c r="I43" s="156">
        <v>0</v>
      </c>
      <c r="J43" s="123">
        <f>+I43/'[2]Data Entry'!$C$11</f>
        <v>0</v>
      </c>
      <c r="K43" s="48">
        <f t="shared" si="13"/>
        <v>0</v>
      </c>
      <c r="L43" s="159">
        <f t="shared" si="24"/>
        <v>0</v>
      </c>
      <c r="M43" s="123">
        <f>+L43/'[2]Data Entry'!$C$11</f>
        <v>0</v>
      </c>
      <c r="N43" s="125">
        <f t="shared" si="14"/>
        <v>0</v>
      </c>
      <c r="O43" s="160">
        <f t="shared" si="15"/>
        <v>0</v>
      </c>
      <c r="P43" s="123">
        <f>+O43/'[2]Data Entry'!$C$11</f>
        <v>0</v>
      </c>
      <c r="Q43" s="125">
        <f t="shared" si="16"/>
        <v>0</v>
      </c>
      <c r="R43" s="160">
        <f t="shared" si="17"/>
        <v>0</v>
      </c>
      <c r="S43" s="123">
        <f>+R43/'[2]Data Entry'!$C$11</f>
        <v>0</v>
      </c>
      <c r="T43" s="125">
        <f t="shared" si="18"/>
        <v>0</v>
      </c>
      <c r="U43" s="160">
        <f t="shared" si="19"/>
        <v>0</v>
      </c>
      <c r="V43" s="123">
        <f>+U43/'[2]Data Entry'!$C$11</f>
        <v>0</v>
      </c>
      <c r="W43" s="125">
        <f t="shared" si="20"/>
        <v>0</v>
      </c>
      <c r="X43" s="160">
        <f t="shared" si="21"/>
        <v>0</v>
      </c>
      <c r="Y43" s="123">
        <f>+X43/'[2]Data Entry'!$C$11</f>
        <v>0</v>
      </c>
      <c r="Z43" s="48">
        <f t="shared" si="22"/>
        <v>0</v>
      </c>
      <c r="AB43" s="127"/>
      <c r="AD43" s="127"/>
      <c r="AF43" s="127"/>
      <c r="AH43" s="127"/>
      <c r="AJ43" s="127"/>
      <c r="AK43" s="135"/>
    </row>
    <row r="44" spans="2:37">
      <c r="B44" s="129" t="s">
        <v>259</v>
      </c>
      <c r="C44" s="156">
        <v>0</v>
      </c>
      <c r="D44" s="119">
        <f t="shared" si="10"/>
        <v>0</v>
      </c>
      <c r="E44" s="157">
        <f t="shared" si="23"/>
        <v>0</v>
      </c>
      <c r="F44" s="121">
        <f t="shared" si="11"/>
        <v>0</v>
      </c>
      <c r="G44" s="120">
        <f t="shared" si="12"/>
        <v>0</v>
      </c>
      <c r="H44" s="119"/>
      <c r="I44" s="156">
        <v>0</v>
      </c>
      <c r="J44" s="123">
        <f>+I44/'[2]Data Entry'!$C$11</f>
        <v>0</v>
      </c>
      <c r="K44" s="48">
        <f t="shared" si="13"/>
        <v>0</v>
      </c>
      <c r="L44" s="159">
        <f t="shared" si="24"/>
        <v>0</v>
      </c>
      <c r="M44" s="123">
        <f>+L44/'[2]Data Entry'!$C$11</f>
        <v>0</v>
      </c>
      <c r="N44" s="125">
        <f t="shared" si="14"/>
        <v>0</v>
      </c>
      <c r="O44" s="160">
        <f t="shared" si="15"/>
        <v>0</v>
      </c>
      <c r="P44" s="123">
        <f>+O44/'[2]Data Entry'!$C$11</f>
        <v>0</v>
      </c>
      <c r="Q44" s="125">
        <f t="shared" si="16"/>
        <v>0</v>
      </c>
      <c r="R44" s="160">
        <f t="shared" si="17"/>
        <v>0</v>
      </c>
      <c r="S44" s="123">
        <f>+R44/'[2]Data Entry'!$C$11</f>
        <v>0</v>
      </c>
      <c r="T44" s="125">
        <f t="shared" si="18"/>
        <v>0</v>
      </c>
      <c r="U44" s="160">
        <f t="shared" si="19"/>
        <v>0</v>
      </c>
      <c r="V44" s="123">
        <f>+U44/'[2]Data Entry'!$C$11</f>
        <v>0</v>
      </c>
      <c r="W44" s="125">
        <f t="shared" si="20"/>
        <v>0</v>
      </c>
      <c r="X44" s="160">
        <f t="shared" si="21"/>
        <v>0</v>
      </c>
      <c r="Y44" s="123">
        <f>+X44/'[2]Data Entry'!$C$11</f>
        <v>0</v>
      </c>
      <c r="Z44" s="48">
        <f t="shared" si="22"/>
        <v>0</v>
      </c>
      <c r="AB44" s="127"/>
      <c r="AD44" s="127"/>
      <c r="AF44" s="127"/>
      <c r="AH44" s="127"/>
      <c r="AJ44" s="127"/>
      <c r="AK44" s="135"/>
    </row>
    <row r="45" spans="2:37">
      <c r="B45" s="129" t="s">
        <v>260</v>
      </c>
      <c r="C45" s="156">
        <v>0</v>
      </c>
      <c r="D45" s="119">
        <f t="shared" si="10"/>
        <v>0</v>
      </c>
      <c r="E45" s="157">
        <f t="shared" si="23"/>
        <v>0</v>
      </c>
      <c r="F45" s="121">
        <f t="shared" si="11"/>
        <v>0</v>
      </c>
      <c r="G45" s="120">
        <f t="shared" si="12"/>
        <v>0</v>
      </c>
      <c r="H45" s="119"/>
      <c r="I45" s="156">
        <v>0</v>
      </c>
      <c r="J45" s="123">
        <f>+I45/'[2]Data Entry'!$C$11</f>
        <v>0</v>
      </c>
      <c r="K45" s="48">
        <f t="shared" si="13"/>
        <v>0</v>
      </c>
      <c r="L45" s="159">
        <f t="shared" si="24"/>
        <v>0</v>
      </c>
      <c r="M45" s="123">
        <f>+L45/'[2]Data Entry'!$C$11</f>
        <v>0</v>
      </c>
      <c r="N45" s="125">
        <f t="shared" si="14"/>
        <v>0</v>
      </c>
      <c r="O45" s="160">
        <f t="shared" si="15"/>
        <v>0</v>
      </c>
      <c r="P45" s="123">
        <f>+O45/'[2]Data Entry'!$C$11</f>
        <v>0</v>
      </c>
      <c r="Q45" s="125">
        <f t="shared" si="16"/>
        <v>0</v>
      </c>
      <c r="R45" s="160">
        <f t="shared" si="17"/>
        <v>0</v>
      </c>
      <c r="S45" s="123">
        <f>+R45/'[2]Data Entry'!$C$11</f>
        <v>0</v>
      </c>
      <c r="T45" s="125">
        <f t="shared" si="18"/>
        <v>0</v>
      </c>
      <c r="U45" s="160">
        <f t="shared" si="19"/>
        <v>0</v>
      </c>
      <c r="V45" s="123">
        <f>+U45/'[2]Data Entry'!$C$11</f>
        <v>0</v>
      </c>
      <c r="W45" s="125">
        <f t="shared" si="20"/>
        <v>0</v>
      </c>
      <c r="X45" s="160">
        <f t="shared" si="21"/>
        <v>0</v>
      </c>
      <c r="Y45" s="123">
        <f>+X45/'[2]Data Entry'!$C$11</f>
        <v>0</v>
      </c>
      <c r="Z45" s="48">
        <f t="shared" si="22"/>
        <v>0</v>
      </c>
      <c r="AB45" s="127"/>
      <c r="AD45" s="127"/>
      <c r="AF45" s="127"/>
      <c r="AH45" s="127"/>
      <c r="AJ45" s="127"/>
      <c r="AK45" s="135"/>
    </row>
    <row r="46" spans="2:37">
      <c r="B46" s="129" t="s">
        <v>261</v>
      </c>
      <c r="C46" s="156">
        <v>0</v>
      </c>
      <c r="D46" s="119">
        <f t="shared" si="10"/>
        <v>0</v>
      </c>
      <c r="E46" s="157">
        <f t="shared" si="23"/>
        <v>0</v>
      </c>
      <c r="F46" s="121">
        <f t="shared" si="11"/>
        <v>0</v>
      </c>
      <c r="G46" s="120">
        <f t="shared" si="12"/>
        <v>0</v>
      </c>
      <c r="H46" s="119"/>
      <c r="I46" s="156">
        <v>0</v>
      </c>
      <c r="J46" s="123">
        <f>+I46/'[2]Data Entry'!$C$11</f>
        <v>0</v>
      </c>
      <c r="K46" s="48">
        <f t="shared" si="13"/>
        <v>0</v>
      </c>
      <c r="L46" s="159">
        <f t="shared" si="24"/>
        <v>0</v>
      </c>
      <c r="M46" s="123">
        <f>+L46/'[2]Data Entry'!$C$11</f>
        <v>0</v>
      </c>
      <c r="N46" s="125">
        <f t="shared" si="14"/>
        <v>0</v>
      </c>
      <c r="O46" s="160">
        <f t="shared" si="15"/>
        <v>0</v>
      </c>
      <c r="P46" s="123">
        <f>+O46/'[2]Data Entry'!$C$11</f>
        <v>0</v>
      </c>
      <c r="Q46" s="125">
        <f t="shared" si="16"/>
        <v>0</v>
      </c>
      <c r="R46" s="160">
        <f t="shared" si="17"/>
        <v>0</v>
      </c>
      <c r="S46" s="123">
        <f>+R46/'[2]Data Entry'!$C$11</f>
        <v>0</v>
      </c>
      <c r="T46" s="125">
        <f t="shared" si="18"/>
        <v>0</v>
      </c>
      <c r="U46" s="160">
        <f t="shared" si="19"/>
        <v>0</v>
      </c>
      <c r="V46" s="123">
        <f>+U46/'[2]Data Entry'!$C$11</f>
        <v>0</v>
      </c>
      <c r="W46" s="125">
        <f t="shared" si="20"/>
        <v>0</v>
      </c>
      <c r="X46" s="160">
        <f t="shared" si="21"/>
        <v>0</v>
      </c>
      <c r="Y46" s="123">
        <f>+X46/'[2]Data Entry'!$C$11</f>
        <v>0</v>
      </c>
      <c r="Z46" s="48">
        <f t="shared" si="22"/>
        <v>0</v>
      </c>
      <c r="AB46" s="127"/>
      <c r="AD46" s="127"/>
      <c r="AF46" s="127"/>
      <c r="AH46" s="127"/>
      <c r="AJ46" s="127"/>
      <c r="AK46" s="135"/>
    </row>
    <row r="47" spans="2:37">
      <c r="B47" s="129" t="s">
        <v>262</v>
      </c>
      <c r="C47" s="156">
        <f>'IS (Combined)'!D32</f>
        <v>16760</v>
      </c>
      <c r="D47" s="119">
        <f t="shared" si="10"/>
        <v>1.8255104365716923E-2</v>
      </c>
      <c r="E47" s="157">
        <f t="shared" si="23"/>
        <v>540</v>
      </c>
      <c r="F47" s="121">
        <f t="shared" si="11"/>
        <v>5.7027296305467597E-4</v>
      </c>
      <c r="G47" s="120">
        <f t="shared" si="12"/>
        <v>16220</v>
      </c>
      <c r="H47" s="119"/>
      <c r="I47" s="156">
        <v>1080</v>
      </c>
      <c r="J47" s="123">
        <f>+I47/'[2]Data Entry'!$C$11</f>
        <v>13.170731707317072</v>
      </c>
      <c r="K47" s="48">
        <f t="shared" si="13"/>
        <v>5.7027296305467597E-4</v>
      </c>
      <c r="L47" s="159">
        <f t="shared" si="24"/>
        <v>1090.8</v>
      </c>
      <c r="M47" s="123">
        <f>+L47/'[2]Data Entry'!$C$11</f>
        <v>13.302439024390244</v>
      </c>
      <c r="N47" s="125">
        <f t="shared" si="14"/>
        <v>5.1654625411986003E-4</v>
      </c>
      <c r="O47" s="160">
        <f t="shared" si="15"/>
        <v>1101.7079999999999</v>
      </c>
      <c r="P47" s="123">
        <f>+O47/'[2]Data Entry'!$C$11</f>
        <v>13.435463414634144</v>
      </c>
      <c r="Q47" s="125">
        <f t="shared" si="16"/>
        <v>4.7284511698768316E-4</v>
      </c>
      <c r="R47" s="160">
        <f t="shared" si="17"/>
        <v>1112.7250799999999</v>
      </c>
      <c r="S47" s="123">
        <f>+R47/'[2]Data Entry'!$C$11</f>
        <v>13.569818048780487</v>
      </c>
      <c r="T47" s="125">
        <f t="shared" si="18"/>
        <v>4.4449019669711673E-4</v>
      </c>
      <c r="U47" s="160">
        <f t="shared" si="19"/>
        <v>1123.8523307999999</v>
      </c>
      <c r="V47" s="123">
        <f>+U47/'[2]Data Entry'!$C$11</f>
        <v>13.705516229268291</v>
      </c>
      <c r="W47" s="125">
        <f t="shared" si="20"/>
        <v>4.3657666990519326E-4</v>
      </c>
      <c r="X47" s="160">
        <f t="shared" si="21"/>
        <v>1135.0908541079998</v>
      </c>
      <c r="Y47" s="123">
        <f>+X47/'[2]Data Entry'!$C$11</f>
        <v>13.842571391560973</v>
      </c>
      <c r="Z47" s="48">
        <f t="shared" si="22"/>
        <v>4.2879146807035123E-4</v>
      </c>
      <c r="AB47" s="127"/>
      <c r="AD47" s="127"/>
      <c r="AF47" s="127"/>
      <c r="AH47" s="127"/>
      <c r="AJ47" s="127"/>
      <c r="AK47" s="135"/>
    </row>
    <row r="48" spans="2:37">
      <c r="B48" s="129" t="s">
        <v>263</v>
      </c>
      <c r="C48" s="156">
        <v>0</v>
      </c>
      <c r="D48" s="119">
        <f t="shared" si="10"/>
        <v>0</v>
      </c>
      <c r="E48" s="157">
        <f t="shared" si="23"/>
        <v>0</v>
      </c>
      <c r="F48" s="121">
        <f t="shared" si="11"/>
        <v>0</v>
      </c>
      <c r="G48" s="120">
        <f t="shared" si="12"/>
        <v>0</v>
      </c>
      <c r="H48" s="119"/>
      <c r="I48" s="156">
        <v>0</v>
      </c>
      <c r="J48" s="123">
        <f>+I48/'[2]Data Entry'!$C$11</f>
        <v>0</v>
      </c>
      <c r="K48" s="48">
        <f t="shared" si="13"/>
        <v>0</v>
      </c>
      <c r="L48" s="159">
        <f t="shared" si="24"/>
        <v>0</v>
      </c>
      <c r="M48" s="123">
        <f>+L48/'[2]Data Entry'!$C$11</f>
        <v>0</v>
      </c>
      <c r="N48" s="125">
        <f t="shared" si="14"/>
        <v>0</v>
      </c>
      <c r="O48" s="160">
        <f t="shared" si="15"/>
        <v>0</v>
      </c>
      <c r="P48" s="123">
        <f>+O48/'[2]Data Entry'!$C$11</f>
        <v>0</v>
      </c>
      <c r="Q48" s="125">
        <f t="shared" si="16"/>
        <v>0</v>
      </c>
      <c r="R48" s="160">
        <f t="shared" si="17"/>
        <v>0</v>
      </c>
      <c r="S48" s="123">
        <f>+R48/'[2]Data Entry'!$C$11</f>
        <v>0</v>
      </c>
      <c r="T48" s="125">
        <f t="shared" si="18"/>
        <v>0</v>
      </c>
      <c r="U48" s="160">
        <f t="shared" si="19"/>
        <v>0</v>
      </c>
      <c r="V48" s="123">
        <f>+U48/'[2]Data Entry'!$C$11</f>
        <v>0</v>
      </c>
      <c r="W48" s="125">
        <f t="shared" si="20"/>
        <v>0</v>
      </c>
      <c r="X48" s="160">
        <f t="shared" si="21"/>
        <v>0</v>
      </c>
      <c r="Y48" s="123">
        <f>+X48/'[2]Data Entry'!$C$11</f>
        <v>0</v>
      </c>
      <c r="Z48" s="48">
        <f t="shared" si="22"/>
        <v>0</v>
      </c>
      <c r="AB48" s="127"/>
      <c r="AD48" s="127"/>
      <c r="AF48" s="127"/>
      <c r="AH48" s="127"/>
      <c r="AJ48" s="127"/>
      <c r="AK48" s="135"/>
    </row>
    <row r="49" spans="2:37">
      <c r="B49" s="129" t="s">
        <v>264</v>
      </c>
      <c r="C49" s="156">
        <f>'IS (Combined)'!D26</f>
        <v>5300</v>
      </c>
      <c r="D49" s="119">
        <f t="shared" si="10"/>
        <v>5.7727955333114374E-3</v>
      </c>
      <c r="E49" s="157">
        <f t="shared" si="23"/>
        <v>1650</v>
      </c>
      <c r="F49" s="121">
        <f t="shared" si="11"/>
        <v>1.7425007204448434E-3</v>
      </c>
      <c r="G49" s="120">
        <f t="shared" si="12"/>
        <v>3650</v>
      </c>
      <c r="H49" s="119"/>
      <c r="I49" s="156">
        <v>3300</v>
      </c>
      <c r="J49" s="123">
        <f>+I49/'[2]Data Entry'!$C$11</f>
        <v>40.243902439024389</v>
      </c>
      <c r="K49" s="48">
        <f t="shared" si="13"/>
        <v>1.7425007204448434E-3</v>
      </c>
      <c r="L49" s="159">
        <f t="shared" si="24"/>
        <v>3333</v>
      </c>
      <c r="M49" s="123">
        <f>+L49/'[2]Data Entry'!$C$11</f>
        <v>40.646341463414636</v>
      </c>
      <c r="N49" s="125">
        <f t="shared" si="14"/>
        <v>1.57833577647735E-3</v>
      </c>
      <c r="O49" s="160">
        <f t="shared" si="15"/>
        <v>3366.33</v>
      </c>
      <c r="P49" s="123">
        <f>+O49/'[2]Data Entry'!$C$11</f>
        <v>41.052804878048782</v>
      </c>
      <c r="Q49" s="125">
        <f t="shared" si="16"/>
        <v>1.4448045241290319E-3</v>
      </c>
      <c r="R49" s="160">
        <f t="shared" si="17"/>
        <v>3399.9933000000001</v>
      </c>
      <c r="S49" s="123">
        <f>+R49/'[2]Data Entry'!$C$11</f>
        <v>41.463332926829267</v>
      </c>
      <c r="T49" s="125">
        <f t="shared" si="18"/>
        <v>1.3581644899078567E-3</v>
      </c>
      <c r="U49" s="160">
        <f t="shared" si="19"/>
        <v>3433.9932330000001</v>
      </c>
      <c r="V49" s="123">
        <f>+U49/'[2]Data Entry'!$C$11</f>
        <v>41.877966256097565</v>
      </c>
      <c r="W49" s="125">
        <f t="shared" si="20"/>
        <v>1.3339842691547574E-3</v>
      </c>
      <c r="X49" s="160">
        <f t="shared" si="21"/>
        <v>3468.3331653300002</v>
      </c>
      <c r="Y49" s="123">
        <f>+X49/'[2]Data Entry'!$C$11</f>
        <v>42.296745918658537</v>
      </c>
      <c r="Z49" s="48">
        <f t="shared" si="22"/>
        <v>1.3101961524371846E-3</v>
      </c>
      <c r="AA49" s="46">
        <f>X49</f>
        <v>3468.3331653300002</v>
      </c>
      <c r="AB49" s="127">
        <f>AA49/$X$85</f>
        <v>1.3101961524371846E-3</v>
      </c>
      <c r="AC49" s="46">
        <f>AA49</f>
        <v>3468.3331653300002</v>
      </c>
      <c r="AD49" s="127">
        <f>AC49/$X$85</f>
        <v>1.3101961524371846E-3</v>
      </c>
      <c r="AE49" s="46">
        <f>AC49</f>
        <v>3468.3331653300002</v>
      </c>
      <c r="AF49" s="127">
        <f>AE49/$X$85</f>
        <v>1.3101961524371846E-3</v>
      </c>
      <c r="AG49" s="46">
        <f>AE49</f>
        <v>3468.3331653300002</v>
      </c>
      <c r="AH49" s="127">
        <f>AG49/$X$85</f>
        <v>1.3101961524371846E-3</v>
      </c>
      <c r="AI49" s="46">
        <f>AG49</f>
        <v>3468.3331653300002</v>
      </c>
      <c r="AJ49" s="127">
        <f>AI49/$X$85</f>
        <v>1.3101961524371846E-3</v>
      </c>
    </row>
    <row r="50" spans="2:37">
      <c r="B50" s="129" t="s">
        <v>265</v>
      </c>
      <c r="C50" s="156">
        <f>'IS (Combined)'!D24+'IS (Combined)'!D25</f>
        <v>5344.24</v>
      </c>
      <c r="D50" s="119">
        <f t="shared" si="10"/>
        <v>5.8209820379140215E-3</v>
      </c>
      <c r="E50" s="157">
        <f t="shared" si="23"/>
        <v>10398.5</v>
      </c>
      <c r="F50" s="121">
        <f t="shared" si="11"/>
        <v>1.0981450752451941E-2</v>
      </c>
      <c r="G50" s="120">
        <f t="shared" si="12"/>
        <v>-5054.26</v>
      </c>
      <c r="H50" s="119"/>
      <c r="I50" s="156">
        <v>20797</v>
      </c>
      <c r="J50" s="123">
        <f>+I50/'[2]Data Entry'!$C$11</f>
        <v>253.6219512195122</v>
      </c>
      <c r="K50" s="48">
        <f t="shared" si="13"/>
        <v>1.0981450752451941E-2</v>
      </c>
      <c r="L50" s="159">
        <f t="shared" si="24"/>
        <v>21004.97</v>
      </c>
      <c r="M50" s="123">
        <f>+L50/'[2]Data Entry'!$C$11</f>
        <v>256.15817073170734</v>
      </c>
      <c r="N50" s="125">
        <f t="shared" si="14"/>
        <v>9.9468633767877124E-3</v>
      </c>
      <c r="O50" s="160">
        <f t="shared" si="15"/>
        <v>21215.019700000001</v>
      </c>
      <c r="P50" s="123">
        <f>+O50/'[2]Data Entry'!$C$11</f>
        <v>258.71975243902438</v>
      </c>
      <c r="Q50" s="125">
        <f t="shared" si="16"/>
        <v>9.1053332388822666E-3</v>
      </c>
      <c r="R50" s="160">
        <f t="shared" si="17"/>
        <v>21427.169897</v>
      </c>
      <c r="S50" s="123">
        <f>+R50/'[2]Data Entry'!$C$11</f>
        <v>261.30694996341464</v>
      </c>
      <c r="T50" s="125">
        <f t="shared" si="18"/>
        <v>8.5593172413980893E-3</v>
      </c>
      <c r="U50" s="160">
        <f t="shared" si="19"/>
        <v>21641.441595969998</v>
      </c>
      <c r="V50" s="123">
        <f>+U50/'[2]Data Entry'!$C$11</f>
        <v>263.92001946304873</v>
      </c>
      <c r="W50" s="125">
        <f t="shared" si="20"/>
        <v>8.4069305592762086E-3</v>
      </c>
      <c r="X50" s="160">
        <f t="shared" si="21"/>
        <v>21857.8560119297</v>
      </c>
      <c r="Y50" s="123">
        <f>+X50/'[2]Data Entry'!$C$11</f>
        <v>266.55921965767925</v>
      </c>
      <c r="Z50" s="48">
        <f t="shared" si="22"/>
        <v>8.2570149643139776E-3</v>
      </c>
      <c r="AA50" s="46">
        <f>X50</f>
        <v>21857.8560119297</v>
      </c>
      <c r="AB50" s="127">
        <f>AA50/$X$85</f>
        <v>8.2570149643139776E-3</v>
      </c>
      <c r="AC50" s="46">
        <f>AA50</f>
        <v>21857.8560119297</v>
      </c>
      <c r="AD50" s="127">
        <f>AC50/$X$85</f>
        <v>8.2570149643139776E-3</v>
      </c>
      <c r="AE50" s="46">
        <f>AC50</f>
        <v>21857.8560119297</v>
      </c>
      <c r="AF50" s="127">
        <f>AE50/$X$85</f>
        <v>8.2570149643139776E-3</v>
      </c>
      <c r="AG50" s="46">
        <f>AE50</f>
        <v>21857.8560119297</v>
      </c>
      <c r="AH50" s="127">
        <f>AG50/$X$85</f>
        <v>8.2570149643139776E-3</v>
      </c>
      <c r="AI50" s="46">
        <f>AG50</f>
        <v>21857.8560119297</v>
      </c>
      <c r="AJ50" s="127">
        <f>AI50/$X$85</f>
        <v>8.2570149643139776E-3</v>
      </c>
    </row>
    <row r="51" spans="2:37">
      <c r="B51" s="129" t="s">
        <v>164</v>
      </c>
      <c r="C51" s="156">
        <v>0</v>
      </c>
      <c r="D51" s="119">
        <f t="shared" si="10"/>
        <v>0</v>
      </c>
      <c r="E51" s="157">
        <f t="shared" si="23"/>
        <v>52</v>
      </c>
      <c r="F51" s="121">
        <f t="shared" si="11"/>
        <v>5.491517422007991E-5</v>
      </c>
      <c r="G51" s="120">
        <f t="shared" si="12"/>
        <v>-52</v>
      </c>
      <c r="H51" s="119"/>
      <c r="I51" s="156">
        <v>104</v>
      </c>
      <c r="J51" s="123">
        <f>+I51/'[2]Data Entry'!$C$11</f>
        <v>1.2682926829268293</v>
      </c>
      <c r="K51" s="48">
        <f t="shared" si="13"/>
        <v>5.491517422007991E-5</v>
      </c>
      <c r="L51" s="159">
        <f t="shared" si="24"/>
        <v>105.04</v>
      </c>
      <c r="M51" s="123">
        <f>+L51/'[2]Data Entry'!$C$11</f>
        <v>1.2809756097560976</v>
      </c>
      <c r="N51" s="125">
        <f t="shared" si="14"/>
        <v>4.9741491137468006E-5</v>
      </c>
      <c r="O51" s="160">
        <f t="shared" si="15"/>
        <v>106.0904</v>
      </c>
      <c r="P51" s="123">
        <f>+O51/'[2]Data Entry'!$C$11</f>
        <v>1.2937853658536587</v>
      </c>
      <c r="Q51" s="125">
        <f t="shared" si="16"/>
        <v>4.5533233487702831E-5</v>
      </c>
      <c r="R51" s="160">
        <f t="shared" si="17"/>
        <v>107.15130400000001</v>
      </c>
      <c r="S51" s="123">
        <f>+R51/'[2]Data Entry'!$C$11</f>
        <v>1.3067232195121952</v>
      </c>
      <c r="T51" s="125">
        <f t="shared" si="18"/>
        <v>4.2802759681944583E-5</v>
      </c>
      <c r="U51" s="160">
        <f t="shared" si="19"/>
        <v>108.22281704000001</v>
      </c>
      <c r="V51" s="123">
        <f>+U51/'[2]Data Entry'!$C$11</f>
        <v>1.3197904517073171</v>
      </c>
      <c r="W51" s="125">
        <f t="shared" si="20"/>
        <v>4.2040716361240845E-5</v>
      </c>
      <c r="X51" s="160">
        <f t="shared" si="21"/>
        <v>109.30504521040001</v>
      </c>
      <c r="Y51" s="123">
        <f>+X51/'[2]Data Entry'!$C$11</f>
        <v>1.3329883562243903</v>
      </c>
      <c r="Z51" s="48">
        <f t="shared" si="22"/>
        <v>4.1291030258626423E-5</v>
      </c>
      <c r="AB51" s="127"/>
      <c r="AD51" s="127"/>
      <c r="AF51" s="127"/>
      <c r="AH51" s="127"/>
      <c r="AJ51" s="127"/>
    </row>
    <row r="52" spans="2:37">
      <c r="B52" s="129" t="s">
        <v>266</v>
      </c>
      <c r="C52" s="156">
        <f>'IS (Combined)'!D28</f>
        <v>9473.42</v>
      </c>
      <c r="D52" s="119">
        <f t="shared" si="10"/>
        <v>1.0318512577581743E-2</v>
      </c>
      <c r="E52" s="157">
        <f t="shared" si="23"/>
        <v>15511</v>
      </c>
      <c r="F52" s="121">
        <f t="shared" si="11"/>
        <v>1.638056283322422E-2</v>
      </c>
      <c r="G52" s="120">
        <f t="shared" si="12"/>
        <v>-6037.58</v>
      </c>
      <c r="H52" s="119"/>
      <c r="I52" s="156">
        <v>31022</v>
      </c>
      <c r="J52" s="123">
        <f>+I52/'[2]Data Entry'!$C$11</f>
        <v>378.3170731707317</v>
      </c>
      <c r="K52" s="48">
        <f t="shared" si="13"/>
        <v>1.638056283322422E-2</v>
      </c>
      <c r="L52" s="159">
        <f t="shared" si="24"/>
        <v>31332.22</v>
      </c>
      <c r="M52" s="123">
        <f>+L52/'[2]Data Entry'!$C$11</f>
        <v>382.10024390243905</v>
      </c>
      <c r="N52" s="125">
        <f t="shared" si="14"/>
        <v>1.4837312866024351E-2</v>
      </c>
      <c r="O52" s="160">
        <f t="shared" si="15"/>
        <v>31645.5422</v>
      </c>
      <c r="P52" s="123">
        <f>+O52/'[2]Data Entry'!$C$11</f>
        <v>385.92124634146342</v>
      </c>
      <c r="Q52" s="125">
        <f t="shared" si="16"/>
        <v>1.3582038165918433E-2</v>
      </c>
      <c r="R52" s="160">
        <f t="shared" si="17"/>
        <v>31961.997621999999</v>
      </c>
      <c r="S52" s="123">
        <f>+R52/'[2]Data Entry'!$C$11</f>
        <v>389.78045880487804</v>
      </c>
      <c r="T52" s="125">
        <f t="shared" si="18"/>
        <v>1.2767569335127736E-2</v>
      </c>
      <c r="U52" s="160">
        <f t="shared" si="19"/>
        <v>32281.61759822</v>
      </c>
      <c r="V52" s="123">
        <f>+U52/'[2]Data Entry'!$C$11</f>
        <v>393.67826339292685</v>
      </c>
      <c r="W52" s="125">
        <f t="shared" si="20"/>
        <v>1.2540260605369358E-2</v>
      </c>
      <c r="X52" s="160">
        <f t="shared" si="21"/>
        <v>32604.4337742022</v>
      </c>
      <c r="Y52" s="123">
        <f>+X52/'[2]Data Entry'!$C$11</f>
        <v>397.61504602685608</v>
      </c>
      <c r="Z52" s="48">
        <f t="shared" si="22"/>
        <v>1.231663789118374E-2</v>
      </c>
      <c r="AA52" s="46">
        <f>-AA19*0.01</f>
        <v>-26116.283917063807</v>
      </c>
      <c r="AB52" s="127">
        <f t="shared" ref="AB52:AB58" si="25">AA52/$X$85</f>
        <v>-9.8656769903586964E-3</v>
      </c>
      <c r="AC52" s="46">
        <f>-AC19*0.01</f>
        <v>-26638.609595405083</v>
      </c>
      <c r="AD52" s="127">
        <f t="shared" ref="AD52:AD58" si="26">AC52/$X$85</f>
        <v>-1.006299053016587E-2</v>
      </c>
      <c r="AE52" s="46">
        <f>-AE19*0.01</f>
        <v>-27171.381787313185</v>
      </c>
      <c r="AF52" s="127">
        <f t="shared" ref="AF52:AF58" si="27">AE52/$X$85</f>
        <v>-1.0264250340769186E-2</v>
      </c>
      <c r="AG52" s="46">
        <f>-AG19*0.01</f>
        <v>-27714.809423059451</v>
      </c>
      <c r="AH52" s="127">
        <f t="shared" ref="AH52:AH58" si="28">AG52/$X$85</f>
        <v>-1.0469535347584571E-2</v>
      </c>
      <c r="AI52" s="46">
        <f>-AI19*0.01</f>
        <v>-28269.105611520637</v>
      </c>
      <c r="AJ52" s="127">
        <f t="shared" ref="AJ52:AJ58" si="29">AI52/$X$85</f>
        <v>-1.0678926054536263E-2</v>
      </c>
      <c r="AK52" s="135"/>
    </row>
    <row r="53" spans="2:37">
      <c r="B53" s="129" t="s">
        <v>267</v>
      </c>
      <c r="C53" s="156">
        <f>'IS (Combined)'!D33</f>
        <v>849.56</v>
      </c>
      <c r="D53" s="119">
        <f t="shared" si="10"/>
        <v>9.2534644778869139E-4</v>
      </c>
      <c r="E53" s="157">
        <f t="shared" si="23"/>
        <v>2954.5</v>
      </c>
      <c r="F53" s="121">
        <f t="shared" si="11"/>
        <v>3.1201323506389635E-3</v>
      </c>
      <c r="G53" s="120">
        <f t="shared" si="12"/>
        <v>-2104.94</v>
      </c>
      <c r="H53" s="119"/>
      <c r="I53" s="156">
        <v>5909</v>
      </c>
      <c r="J53" s="123">
        <f>+I53/'[2]Data Entry'!$C$11</f>
        <v>72.060975609756099</v>
      </c>
      <c r="K53" s="48">
        <f t="shared" si="13"/>
        <v>3.1201323506389635E-3</v>
      </c>
      <c r="L53" s="159">
        <f t="shared" si="24"/>
        <v>5968.09</v>
      </c>
      <c r="M53" s="123">
        <f>+L53/'[2]Data Entry'!$C$11</f>
        <v>72.781585365853658</v>
      </c>
      <c r="N53" s="125">
        <f t="shared" si="14"/>
        <v>2.8261776070317157E-3</v>
      </c>
      <c r="O53" s="160">
        <f t="shared" si="15"/>
        <v>6027.7709000000004</v>
      </c>
      <c r="P53" s="123">
        <f>+O53/'[2]Data Entry'!$C$11</f>
        <v>73.509401219512199</v>
      </c>
      <c r="Q53" s="125">
        <f t="shared" si="16"/>
        <v>2.5870757372965002E-3</v>
      </c>
      <c r="R53" s="160">
        <f t="shared" si="17"/>
        <v>6088.0486090000004</v>
      </c>
      <c r="S53" s="123">
        <f>+R53/'[2]Data Entry'!$C$11</f>
        <v>74.244495231707319</v>
      </c>
      <c r="T53" s="125">
        <f t="shared" si="18"/>
        <v>2.4319375669289473E-3</v>
      </c>
      <c r="U53" s="160">
        <f t="shared" si="19"/>
        <v>6148.9290950900004</v>
      </c>
      <c r="V53" s="123">
        <f>+U53/'[2]Data Entry'!$C$11</f>
        <v>74.986940184024391</v>
      </c>
      <c r="W53" s="125">
        <f t="shared" si="20"/>
        <v>2.3886403171016553E-3</v>
      </c>
      <c r="X53" s="160">
        <f t="shared" si="21"/>
        <v>6210.4183860409003</v>
      </c>
      <c r="Y53" s="123">
        <f>+X53/'[2]Data Entry'!$C$11</f>
        <v>75.736809585864634</v>
      </c>
      <c r="Z53" s="48">
        <f t="shared" si="22"/>
        <v>2.3460451711367646E-3</v>
      </c>
      <c r="AA53" s="46">
        <f>X53</f>
        <v>6210.4183860409003</v>
      </c>
      <c r="AB53" s="127">
        <f t="shared" si="25"/>
        <v>2.3460451711367646E-3</v>
      </c>
      <c r="AC53" s="46">
        <f>AA53</f>
        <v>6210.4183860409003</v>
      </c>
      <c r="AD53" s="127">
        <f t="shared" si="26"/>
        <v>2.3460451711367646E-3</v>
      </c>
      <c r="AE53" s="46">
        <f>AC53</f>
        <v>6210.4183860409003</v>
      </c>
      <c r="AF53" s="127">
        <f t="shared" si="27"/>
        <v>2.3460451711367646E-3</v>
      </c>
      <c r="AG53" s="46">
        <f>AE53</f>
        <v>6210.4183860409003</v>
      </c>
      <c r="AH53" s="127">
        <f t="shared" si="28"/>
        <v>2.3460451711367646E-3</v>
      </c>
      <c r="AI53" s="46">
        <f>AG53</f>
        <v>6210.4183860409003</v>
      </c>
      <c r="AJ53" s="127">
        <f t="shared" si="29"/>
        <v>2.3460451711367646E-3</v>
      </c>
      <c r="AK53" s="135"/>
    </row>
    <row r="54" spans="2:37" ht="18.75" customHeight="1">
      <c r="B54" s="129" t="s">
        <v>268</v>
      </c>
      <c r="C54" s="156">
        <f>'IS (Combined)'!D27</f>
        <v>17996.8</v>
      </c>
      <c r="D54" s="119">
        <f t="shared" si="10"/>
        <v>1.9602235217716844E-2</v>
      </c>
      <c r="E54" s="157">
        <f t="shared" si="23"/>
        <v>1237.5</v>
      </c>
      <c r="F54" s="121">
        <f t="shared" si="11"/>
        <v>1.3068755403336325E-3</v>
      </c>
      <c r="G54" s="120">
        <f t="shared" si="12"/>
        <v>16759.3</v>
      </c>
      <c r="H54" s="119"/>
      <c r="I54" s="156">
        <v>2475</v>
      </c>
      <c r="J54" s="123">
        <f>+I54/'[2]Data Entry'!$C$11</f>
        <v>30.182926829268293</v>
      </c>
      <c r="K54" s="48">
        <f t="shared" si="13"/>
        <v>1.3068755403336325E-3</v>
      </c>
      <c r="L54" s="159">
        <f t="shared" si="24"/>
        <v>2499.75</v>
      </c>
      <c r="M54" s="123">
        <f>+L54/'[2]Data Entry'!$C$11</f>
        <v>30.484756097560975</v>
      </c>
      <c r="N54" s="125">
        <f t="shared" si="14"/>
        <v>1.1837518323580126E-3</v>
      </c>
      <c r="O54" s="160">
        <f t="shared" si="15"/>
        <v>2524.7474999999999</v>
      </c>
      <c r="P54" s="123">
        <f>+O54/'[2]Data Entry'!$C$11</f>
        <v>30.789603658536585</v>
      </c>
      <c r="Q54" s="125">
        <f t="shared" si="16"/>
        <v>1.0836033930967739E-3</v>
      </c>
      <c r="R54" s="160">
        <f t="shared" si="17"/>
        <v>2549.9949750000001</v>
      </c>
      <c r="S54" s="123">
        <f>+R54/'[2]Data Entry'!$C$11</f>
        <v>31.097499695121954</v>
      </c>
      <c r="T54" s="125">
        <f t="shared" si="18"/>
        <v>1.0186233674308925E-3</v>
      </c>
      <c r="U54" s="160">
        <f t="shared" si="19"/>
        <v>2575.4949247499999</v>
      </c>
      <c r="V54" s="123">
        <f>+U54/'[2]Data Entry'!$C$11</f>
        <v>31.40847469207317</v>
      </c>
      <c r="W54" s="125">
        <f t="shared" si="20"/>
        <v>1.000488201866068E-3</v>
      </c>
      <c r="X54" s="160">
        <f t="shared" si="21"/>
        <v>2601.2498739974999</v>
      </c>
      <c r="Y54" s="123">
        <f>+X54/'[2]Data Entry'!$C$11</f>
        <v>31.722559438993901</v>
      </c>
      <c r="Z54" s="48">
        <f t="shared" si="22"/>
        <v>9.8264711432788842E-4</v>
      </c>
      <c r="AA54" s="46">
        <f>X54</f>
        <v>2601.2498739974999</v>
      </c>
      <c r="AB54" s="127">
        <f t="shared" si="25"/>
        <v>9.8264711432788842E-4</v>
      </c>
      <c r="AC54" s="46">
        <f>AA54</f>
        <v>2601.2498739974999</v>
      </c>
      <c r="AD54" s="127">
        <f t="shared" si="26"/>
        <v>9.8264711432788842E-4</v>
      </c>
      <c r="AE54" s="46">
        <f>AC54</f>
        <v>2601.2498739974999</v>
      </c>
      <c r="AF54" s="127">
        <f t="shared" si="27"/>
        <v>9.8264711432788842E-4</v>
      </c>
      <c r="AG54" s="46">
        <f>AE54</f>
        <v>2601.2498739974999</v>
      </c>
      <c r="AH54" s="127">
        <f t="shared" si="28"/>
        <v>9.8264711432788842E-4</v>
      </c>
      <c r="AI54" s="46">
        <f>AG54</f>
        <v>2601.2498739974999</v>
      </c>
      <c r="AJ54" s="127">
        <f t="shared" si="29"/>
        <v>9.8264711432788842E-4</v>
      </c>
      <c r="AK54" s="135"/>
    </row>
    <row r="55" spans="2:37">
      <c r="B55" s="129" t="s">
        <v>269</v>
      </c>
      <c r="C55" s="156">
        <f>'IS (Combined)'!D35</f>
        <v>1103.25</v>
      </c>
      <c r="D55" s="119">
        <f t="shared" si="10"/>
        <v>1.2016672966275177E-3</v>
      </c>
      <c r="E55" s="157">
        <f t="shared" si="23"/>
        <v>-862</v>
      </c>
      <c r="F55" s="121">
        <f t="shared" si="11"/>
        <v>-9.1032461880209399E-4</v>
      </c>
      <c r="G55" s="120">
        <f t="shared" si="12"/>
        <v>1965.25</v>
      </c>
      <c r="H55" s="119"/>
      <c r="I55" s="156">
        <v>-1724</v>
      </c>
      <c r="J55" s="123">
        <f>+I55/'[2]Data Entry'!$C$11</f>
        <v>-21.024390243902438</v>
      </c>
      <c r="K55" s="48">
        <f t="shared" si="13"/>
        <v>-9.1032461880209399E-4</v>
      </c>
      <c r="L55" s="159">
        <f t="shared" si="24"/>
        <v>-1741.24</v>
      </c>
      <c r="M55" s="123">
        <f>+L55/'[2]Data Entry'!$C$11</f>
        <v>-21.234634146341463</v>
      </c>
      <c r="N55" s="125">
        <f t="shared" si="14"/>
        <v>-8.2456087231725804E-4</v>
      </c>
      <c r="O55" s="160">
        <f t="shared" si="15"/>
        <v>-1758.6523999999999</v>
      </c>
      <c r="P55" s="123">
        <f>+O55/'[2]Data Entry'!$C$11</f>
        <v>-21.446980487804879</v>
      </c>
      <c r="Q55" s="125">
        <f t="shared" si="16"/>
        <v>-7.548009089692276E-4</v>
      </c>
      <c r="R55" s="160">
        <f t="shared" si="17"/>
        <v>-1776.238924</v>
      </c>
      <c r="S55" s="123">
        <f>+R55/'[2]Data Entry'!$C$11</f>
        <v>-21.661450292682925</v>
      </c>
      <c r="T55" s="125">
        <f t="shared" si="18"/>
        <v>-7.0953805472761969E-4</v>
      </c>
      <c r="U55" s="160">
        <f t="shared" si="19"/>
        <v>-1794.0013132399999</v>
      </c>
      <c r="V55" s="123">
        <f>+U55/'[2]Data Entry'!$C$11</f>
        <v>-21.878064795609756</v>
      </c>
      <c r="W55" s="125">
        <f t="shared" si="20"/>
        <v>-6.9690572121903084E-4</v>
      </c>
      <c r="X55" s="160">
        <f t="shared" si="21"/>
        <v>-1811.9413263724</v>
      </c>
      <c r="Y55" s="123">
        <f>+X55/'[2]Data Entry'!$C$11</f>
        <v>-22.096845443565854</v>
      </c>
      <c r="Z55" s="48">
        <f t="shared" si="22"/>
        <v>-6.8447823236415339E-4</v>
      </c>
      <c r="AA55" s="161">
        <f>-AA19*0.06</f>
        <v>-156697.70350238282</v>
      </c>
      <c r="AB55" s="162">
        <f t="shared" si="25"/>
        <v>-5.9194061942152168E-2</v>
      </c>
      <c r="AC55" s="161">
        <f>-AC19*0.06</f>
        <v>-159831.6575724305</v>
      </c>
      <c r="AD55" s="162">
        <f t="shared" si="26"/>
        <v>-6.0377943180995215E-2</v>
      </c>
      <c r="AE55" s="161">
        <f>-AE19*0.06</f>
        <v>-163028.29072387909</v>
      </c>
      <c r="AF55" s="162">
        <f t="shared" si="27"/>
        <v>-6.1585502044615117E-2</v>
      </c>
      <c r="AG55" s="161">
        <f>-AG19*0.06</f>
        <v>-166288.85653835669</v>
      </c>
      <c r="AH55" s="162">
        <f t="shared" si="28"/>
        <v>-6.2817212085507418E-2</v>
      </c>
      <c r="AI55" s="161">
        <f>-AI19*0.06</f>
        <v>-169614.63366912381</v>
      </c>
      <c r="AJ55" s="162">
        <f t="shared" si="29"/>
        <v>-6.4073556327217562E-2</v>
      </c>
      <c r="AK55" s="135"/>
    </row>
    <row r="56" spans="2:37">
      <c r="B56" s="129" t="s">
        <v>270</v>
      </c>
      <c r="C56" s="156">
        <v>0</v>
      </c>
      <c r="D56" s="119">
        <f t="shared" si="10"/>
        <v>0</v>
      </c>
      <c r="E56" s="157">
        <f t="shared" si="23"/>
        <v>0</v>
      </c>
      <c r="F56" s="121">
        <f t="shared" si="11"/>
        <v>0</v>
      </c>
      <c r="G56" s="120">
        <f t="shared" si="12"/>
        <v>0</v>
      </c>
      <c r="H56" s="119"/>
      <c r="I56" s="156">
        <v>0</v>
      </c>
      <c r="J56" s="123">
        <f>+I56/'[2]Data Entry'!$C$11</f>
        <v>0</v>
      </c>
      <c r="K56" s="48">
        <f t="shared" si="13"/>
        <v>0</v>
      </c>
      <c r="L56" s="159">
        <f t="shared" si="24"/>
        <v>0</v>
      </c>
      <c r="M56" s="123">
        <f>+L56/'[2]Data Entry'!$C$11</f>
        <v>0</v>
      </c>
      <c r="N56" s="125">
        <f t="shared" si="14"/>
        <v>0</v>
      </c>
      <c r="O56" s="160">
        <f t="shared" si="15"/>
        <v>0</v>
      </c>
      <c r="P56" s="123">
        <f>+O56/'[2]Data Entry'!$C$11</f>
        <v>0</v>
      </c>
      <c r="Q56" s="125">
        <f t="shared" si="16"/>
        <v>0</v>
      </c>
      <c r="R56" s="160">
        <f t="shared" si="17"/>
        <v>0</v>
      </c>
      <c r="S56" s="123">
        <f>+R56/'[2]Data Entry'!$C$11</f>
        <v>0</v>
      </c>
      <c r="T56" s="125">
        <f t="shared" si="18"/>
        <v>0</v>
      </c>
      <c r="U56" s="160">
        <f t="shared" si="19"/>
        <v>0</v>
      </c>
      <c r="V56" s="123">
        <f>+U56/'[2]Data Entry'!$C$11</f>
        <v>0</v>
      </c>
      <c r="W56" s="125">
        <f t="shared" si="20"/>
        <v>0</v>
      </c>
      <c r="X56" s="160">
        <f t="shared" si="21"/>
        <v>0</v>
      </c>
      <c r="Y56" s="123">
        <f>+X56/'[2]Data Entry'!$C$11</f>
        <v>0</v>
      </c>
      <c r="Z56" s="48">
        <f t="shared" si="22"/>
        <v>0</v>
      </c>
      <c r="AA56" s="46">
        <f>SUM(AA19:AA55)</f>
        <v>2436835.9778071684</v>
      </c>
      <c r="AB56" s="127">
        <f t="shared" si="25"/>
        <v>0.92053818651521579</v>
      </c>
      <c r="AC56" s="46">
        <f>SUM(AC19:AC55)</f>
        <v>2484889.940214566</v>
      </c>
      <c r="AD56" s="127">
        <f t="shared" si="26"/>
        <v>0.93869103217747585</v>
      </c>
      <c r="AE56" s="46">
        <f>SUM(AE19:AE55)</f>
        <v>2533904.9818701115</v>
      </c>
      <c r="AF56" s="127">
        <f t="shared" si="27"/>
        <v>0.95720693475298124</v>
      </c>
      <c r="AG56" s="46">
        <f>SUM(AG19:AG55)</f>
        <v>2583900.3243587678</v>
      </c>
      <c r="AH56" s="127">
        <f t="shared" si="28"/>
        <v>0.97609315537999652</v>
      </c>
      <c r="AI56" s="46">
        <f>SUM(AI19:AI55)</f>
        <v>2634895.5736971963</v>
      </c>
      <c r="AJ56" s="127">
        <f t="shared" si="29"/>
        <v>0.99535710041955183</v>
      </c>
    </row>
    <row r="57" spans="2:37">
      <c r="B57" s="129" t="s">
        <v>271</v>
      </c>
      <c r="C57" s="156">
        <v>0</v>
      </c>
      <c r="D57" s="119">
        <f t="shared" si="10"/>
        <v>0</v>
      </c>
      <c r="E57" s="157">
        <f t="shared" si="23"/>
        <v>0</v>
      </c>
      <c r="F57" s="121">
        <f t="shared" si="11"/>
        <v>0</v>
      </c>
      <c r="G57" s="120">
        <f t="shared" si="12"/>
        <v>0</v>
      </c>
      <c r="H57" s="119"/>
      <c r="I57" s="156">
        <v>0</v>
      </c>
      <c r="J57" s="123">
        <f>+I57/'[2]Data Entry'!$C$11</f>
        <v>0</v>
      </c>
      <c r="K57" s="48">
        <f t="shared" si="13"/>
        <v>0</v>
      </c>
      <c r="L57" s="159">
        <f t="shared" si="24"/>
        <v>0</v>
      </c>
      <c r="M57" s="123">
        <f>+L57/'[2]Data Entry'!$C$11</f>
        <v>0</v>
      </c>
      <c r="N57" s="125">
        <f t="shared" si="14"/>
        <v>0</v>
      </c>
      <c r="O57" s="160">
        <f t="shared" si="15"/>
        <v>0</v>
      </c>
      <c r="P57" s="123">
        <f>+O57/'[2]Data Entry'!$C$11</f>
        <v>0</v>
      </c>
      <c r="Q57" s="125">
        <f t="shared" si="16"/>
        <v>0</v>
      </c>
      <c r="R57" s="160">
        <f t="shared" si="17"/>
        <v>0</v>
      </c>
      <c r="S57" s="123">
        <f>+R57/'[2]Data Entry'!$C$11</f>
        <v>0</v>
      </c>
      <c r="T57" s="125">
        <f t="shared" si="18"/>
        <v>0</v>
      </c>
      <c r="U57" s="160">
        <f t="shared" si="19"/>
        <v>0</v>
      </c>
      <c r="V57" s="123">
        <f>+U57/'[2]Data Entry'!$C$11</f>
        <v>0</v>
      </c>
      <c r="W57" s="125">
        <f t="shared" si="20"/>
        <v>0</v>
      </c>
      <c r="X57" s="160">
        <f t="shared" si="21"/>
        <v>0</v>
      </c>
      <c r="Y57" s="123">
        <f>+X57/'[2]Data Entry'!$C$11</f>
        <v>0</v>
      </c>
      <c r="Z57" s="48">
        <f t="shared" si="22"/>
        <v>0</v>
      </c>
      <c r="AA57" s="46">
        <f>X57*1.01</f>
        <v>0</v>
      </c>
      <c r="AB57" s="127">
        <f t="shared" si="25"/>
        <v>0</v>
      </c>
      <c r="AC57" s="46">
        <f>AA57*1.01</f>
        <v>0</v>
      </c>
      <c r="AD57" s="127">
        <f t="shared" si="26"/>
        <v>0</v>
      </c>
      <c r="AE57" s="46">
        <f>AC57*1.01</f>
        <v>0</v>
      </c>
      <c r="AF57" s="127">
        <f t="shared" si="27"/>
        <v>0</v>
      </c>
      <c r="AG57" s="46">
        <f>AE57*1.01</f>
        <v>0</v>
      </c>
      <c r="AH57" s="127">
        <f t="shared" si="28"/>
        <v>0</v>
      </c>
      <c r="AI57" s="46">
        <f>AG57*1.01</f>
        <v>0</v>
      </c>
      <c r="AJ57" s="127">
        <f t="shared" si="29"/>
        <v>0</v>
      </c>
    </row>
    <row r="58" spans="2:37">
      <c r="B58" s="129" t="s">
        <v>272</v>
      </c>
      <c r="C58" s="156">
        <f>'IS (Combined)'!D21</f>
        <v>236.25</v>
      </c>
      <c r="D58" s="119">
        <f t="shared" si="10"/>
        <v>2.5732508391411831E-4</v>
      </c>
      <c r="E58" s="157">
        <f t="shared" si="23"/>
        <v>957.5</v>
      </c>
      <c r="F58" s="121">
        <f t="shared" si="11"/>
        <v>1.0111784483793562E-3</v>
      </c>
      <c r="G58" s="120">
        <f t="shared" si="12"/>
        <v>-721.25</v>
      </c>
      <c r="H58" s="119"/>
      <c r="I58" s="156">
        <v>1915</v>
      </c>
      <c r="J58" s="123">
        <f>+I58/'[2]Data Entry'!$C$11</f>
        <v>23.353658536585368</v>
      </c>
      <c r="K58" s="48">
        <f t="shared" si="13"/>
        <v>1.0111784483793562E-3</v>
      </c>
      <c r="L58" s="159">
        <f t="shared" si="24"/>
        <v>1934.15</v>
      </c>
      <c r="M58" s="123">
        <f>+L58/'[2]Data Entry'!$C$11</f>
        <v>23.587195121951222</v>
      </c>
      <c r="N58" s="125">
        <f t="shared" si="14"/>
        <v>9.1591303392549259E-4</v>
      </c>
      <c r="O58" s="160">
        <f t="shared" si="15"/>
        <v>1953.4915000000001</v>
      </c>
      <c r="P58" s="123">
        <f>+O58/'[2]Data Entry'!$C$11</f>
        <v>23.823067073170733</v>
      </c>
      <c r="Q58" s="125">
        <f t="shared" si="16"/>
        <v>8.3842444354760494E-4</v>
      </c>
      <c r="R58" s="160">
        <f t="shared" si="17"/>
        <v>1973.026415</v>
      </c>
      <c r="S58" s="123">
        <f>+R58/'[2]Data Entry'!$C$11</f>
        <v>24.06129774390244</v>
      </c>
      <c r="T58" s="125">
        <f t="shared" si="18"/>
        <v>7.8814696914349873E-4</v>
      </c>
      <c r="U58" s="160">
        <f t="shared" si="19"/>
        <v>1992.7566791500001</v>
      </c>
      <c r="V58" s="123">
        <f>+U58/'[2]Data Entry'!$C$11</f>
        <v>24.301910721341464</v>
      </c>
      <c r="W58" s="125">
        <f t="shared" si="20"/>
        <v>7.741151137670789E-4</v>
      </c>
      <c r="X58" s="160">
        <f t="shared" si="21"/>
        <v>2012.6842459415002</v>
      </c>
      <c r="Y58" s="123">
        <f>+X58/'[2]Data Entry'!$C$11</f>
        <v>24.544929828554881</v>
      </c>
      <c r="Z58" s="48">
        <f t="shared" si="22"/>
        <v>7.6031079755066932E-4</v>
      </c>
      <c r="AA58" s="46">
        <f>X58*1.01</f>
        <v>2032.8110884009152</v>
      </c>
      <c r="AB58" s="127">
        <f t="shared" si="25"/>
        <v>7.6791390552617602E-4</v>
      </c>
      <c r="AC58" s="46">
        <f>AA58*1.01</f>
        <v>2053.1391992849244</v>
      </c>
      <c r="AD58" s="127">
        <f t="shared" si="26"/>
        <v>7.7559304458143781E-4</v>
      </c>
      <c r="AE58" s="46">
        <f>AC58*1.01</f>
        <v>2073.6705912777738</v>
      </c>
      <c r="AF58" s="127">
        <f t="shared" si="27"/>
        <v>7.833489750272522E-4</v>
      </c>
      <c r="AG58" s="46">
        <f>AE58*1.01</f>
        <v>2094.4072971905516</v>
      </c>
      <c r="AH58" s="127">
        <f t="shared" si="28"/>
        <v>7.9118246477752471E-4</v>
      </c>
      <c r="AI58" s="46">
        <f>AG58*1.01</f>
        <v>2115.351370162457</v>
      </c>
      <c r="AJ58" s="127">
        <f t="shared" si="29"/>
        <v>7.990942894253E-4</v>
      </c>
    </row>
    <row r="59" spans="2:37">
      <c r="B59" s="129" t="s">
        <v>273</v>
      </c>
      <c r="C59" s="156">
        <f>'IS (Combined)'!D20</f>
        <v>193.72</v>
      </c>
      <c r="D59" s="119">
        <f t="shared" si="10"/>
        <v>2.1100112277605502E-4</v>
      </c>
      <c r="E59" s="157">
        <f t="shared" si="23"/>
        <v>1250</v>
      </c>
      <c r="F59" s="121">
        <f t="shared" si="11"/>
        <v>1.3200763033673056E-3</v>
      </c>
      <c r="G59" s="120">
        <f t="shared" si="12"/>
        <v>-1056.28</v>
      </c>
      <c r="H59" s="119"/>
      <c r="I59" s="156">
        <v>2500</v>
      </c>
      <c r="J59" s="123">
        <f>+I59/'[2]Data Entry'!$C$11</f>
        <v>30.487804878048781</v>
      </c>
      <c r="K59" s="48">
        <f t="shared" si="13"/>
        <v>1.3200763033673056E-3</v>
      </c>
      <c r="L59" s="159">
        <f t="shared" si="24"/>
        <v>2525</v>
      </c>
      <c r="M59" s="123">
        <f>+L59/'[2]Data Entry'!$C$11</f>
        <v>30.792682926829269</v>
      </c>
      <c r="N59" s="125">
        <f t="shared" si="14"/>
        <v>1.19570892157375E-3</v>
      </c>
      <c r="O59" s="160">
        <f t="shared" si="15"/>
        <v>2550.25</v>
      </c>
      <c r="P59" s="123">
        <f>+O59/'[2]Data Entry'!$C$11</f>
        <v>31.100609756097562</v>
      </c>
      <c r="Q59" s="125">
        <f t="shared" si="16"/>
        <v>1.0945488819159334E-3</v>
      </c>
      <c r="R59" s="160">
        <f t="shared" si="17"/>
        <v>2575.7525000000001</v>
      </c>
      <c r="S59" s="123">
        <f>+R59/'[2]Data Entry'!$C$11</f>
        <v>31.411615853658539</v>
      </c>
      <c r="T59" s="125">
        <f t="shared" si="18"/>
        <v>1.0289124923544371E-3</v>
      </c>
      <c r="U59" s="160">
        <f t="shared" si="19"/>
        <v>2601.510025</v>
      </c>
      <c r="V59" s="123">
        <f>+U59/'[2]Data Entry'!$C$11</f>
        <v>31.725732012195124</v>
      </c>
      <c r="W59" s="125">
        <f t="shared" si="20"/>
        <v>1.0105941432990587E-3</v>
      </c>
      <c r="X59" s="160">
        <f t="shared" si="21"/>
        <v>2627.5251252500002</v>
      </c>
      <c r="Y59" s="123">
        <f>+X59/'[2]Data Entry'!$C$11</f>
        <v>32.042989332317077</v>
      </c>
      <c r="Z59" s="48">
        <f t="shared" si="22"/>
        <v>9.9257284275544285E-4</v>
      </c>
      <c r="AB59" s="127"/>
      <c r="AD59" s="127"/>
      <c r="AF59" s="127"/>
      <c r="AH59" s="127"/>
      <c r="AJ59" s="127"/>
    </row>
    <row r="60" spans="2:37">
      <c r="B60" s="129" t="s">
        <v>274</v>
      </c>
      <c r="C60" s="156">
        <v>0</v>
      </c>
      <c r="D60" s="119">
        <f t="shared" si="10"/>
        <v>0</v>
      </c>
      <c r="E60" s="157">
        <f t="shared" si="23"/>
        <v>0</v>
      </c>
      <c r="F60" s="121">
        <f t="shared" si="11"/>
        <v>0</v>
      </c>
      <c r="G60" s="120">
        <f t="shared" si="12"/>
        <v>0</v>
      </c>
      <c r="H60" s="119"/>
      <c r="I60" s="156">
        <v>0</v>
      </c>
      <c r="J60" s="123">
        <f>+I60/'[2]Data Entry'!$C$11</f>
        <v>0</v>
      </c>
      <c r="K60" s="48">
        <f t="shared" si="13"/>
        <v>0</v>
      </c>
      <c r="L60" s="159">
        <f t="shared" si="24"/>
        <v>0</v>
      </c>
      <c r="M60" s="123">
        <f>+L60/'[2]Data Entry'!$C$11</f>
        <v>0</v>
      </c>
      <c r="N60" s="125">
        <f t="shared" si="14"/>
        <v>0</v>
      </c>
      <c r="O60" s="160">
        <f t="shared" si="15"/>
        <v>0</v>
      </c>
      <c r="P60" s="123">
        <f>+O60/'[2]Data Entry'!$C$11</f>
        <v>0</v>
      </c>
      <c r="Q60" s="125">
        <f t="shared" si="16"/>
        <v>0</v>
      </c>
      <c r="R60" s="160">
        <f t="shared" si="17"/>
        <v>0</v>
      </c>
      <c r="S60" s="123">
        <f>+R60/'[2]Data Entry'!$C$11</f>
        <v>0</v>
      </c>
      <c r="T60" s="125">
        <f t="shared" si="18"/>
        <v>0</v>
      </c>
      <c r="U60" s="160">
        <f t="shared" si="19"/>
        <v>0</v>
      </c>
      <c r="V60" s="123">
        <f>+U60/'[2]Data Entry'!$C$11</f>
        <v>0</v>
      </c>
      <c r="W60" s="125">
        <f t="shared" si="20"/>
        <v>0</v>
      </c>
      <c r="X60" s="160">
        <f t="shared" si="21"/>
        <v>0</v>
      </c>
      <c r="Y60" s="123">
        <f>+X60/'[2]Data Entry'!$C$11</f>
        <v>0</v>
      </c>
      <c r="Z60" s="48">
        <f t="shared" si="22"/>
        <v>0</v>
      </c>
      <c r="AA60" s="46">
        <f t="shared" ref="AA60:AA83" si="30">X60</f>
        <v>0</v>
      </c>
      <c r="AB60" s="127">
        <f t="shared" ref="AB60:AB74" si="31">AA60/$X$85</f>
        <v>0</v>
      </c>
      <c r="AC60" s="46">
        <f t="shared" ref="AC60:AI83" si="32">AA60</f>
        <v>0</v>
      </c>
      <c r="AD60" s="127">
        <f t="shared" ref="AD60:AD74" si="33">AC60/$X$85</f>
        <v>0</v>
      </c>
      <c r="AE60" s="46">
        <f t="shared" si="32"/>
        <v>0</v>
      </c>
      <c r="AF60" s="127">
        <f t="shared" ref="AF60:AF74" si="34">AE60/$X$85</f>
        <v>0</v>
      </c>
      <c r="AG60" s="46">
        <f t="shared" si="32"/>
        <v>0</v>
      </c>
      <c r="AH60" s="127">
        <f t="shared" ref="AH60:AH74" si="35">AG60/$X$85</f>
        <v>0</v>
      </c>
      <c r="AI60" s="46">
        <f t="shared" si="32"/>
        <v>0</v>
      </c>
      <c r="AJ60" s="127">
        <f t="shared" ref="AJ60:AJ74" si="36">AI60/$X$85</f>
        <v>0</v>
      </c>
    </row>
    <row r="61" spans="2:37">
      <c r="B61" s="129" t="s">
        <v>275</v>
      </c>
      <c r="C61" s="156">
        <v>0</v>
      </c>
      <c r="D61" s="119">
        <f t="shared" si="10"/>
        <v>0</v>
      </c>
      <c r="E61" s="157">
        <f t="shared" si="23"/>
        <v>0</v>
      </c>
      <c r="F61" s="121">
        <f t="shared" si="11"/>
        <v>0</v>
      </c>
      <c r="G61" s="120">
        <f t="shared" si="12"/>
        <v>0</v>
      </c>
      <c r="H61" s="119"/>
      <c r="I61" s="156">
        <v>0</v>
      </c>
      <c r="J61" s="123">
        <f>+I61/'[2]Data Entry'!$C$11</f>
        <v>0</v>
      </c>
      <c r="K61" s="48">
        <f t="shared" si="13"/>
        <v>0</v>
      </c>
      <c r="L61" s="159">
        <f t="shared" si="24"/>
        <v>0</v>
      </c>
      <c r="M61" s="123">
        <f>+L61/'[2]Data Entry'!$C$11</f>
        <v>0</v>
      </c>
      <c r="N61" s="125">
        <f t="shared" si="14"/>
        <v>0</v>
      </c>
      <c r="O61" s="160">
        <f t="shared" si="15"/>
        <v>0</v>
      </c>
      <c r="P61" s="123">
        <f>+O61/'[2]Data Entry'!$C$11</f>
        <v>0</v>
      </c>
      <c r="Q61" s="125">
        <f t="shared" si="16"/>
        <v>0</v>
      </c>
      <c r="R61" s="160">
        <f t="shared" si="17"/>
        <v>0</v>
      </c>
      <c r="S61" s="123">
        <f>+R61/'[2]Data Entry'!$C$11</f>
        <v>0</v>
      </c>
      <c r="T61" s="125">
        <f t="shared" si="18"/>
        <v>0</v>
      </c>
      <c r="U61" s="160">
        <f t="shared" si="19"/>
        <v>0</v>
      </c>
      <c r="V61" s="123">
        <f>+U61/'[2]Data Entry'!$C$11</f>
        <v>0</v>
      </c>
      <c r="W61" s="125">
        <f t="shared" si="20"/>
        <v>0</v>
      </c>
      <c r="X61" s="160">
        <f t="shared" si="21"/>
        <v>0</v>
      </c>
      <c r="Y61" s="123">
        <f>+X61/'[2]Data Entry'!$C$11</f>
        <v>0</v>
      </c>
      <c r="Z61" s="48">
        <f t="shared" si="22"/>
        <v>0</v>
      </c>
      <c r="AA61" s="46">
        <f t="shared" si="30"/>
        <v>0</v>
      </c>
      <c r="AB61" s="127">
        <f t="shared" si="31"/>
        <v>0</v>
      </c>
      <c r="AC61" s="46">
        <f>AA61</f>
        <v>0</v>
      </c>
      <c r="AD61" s="127">
        <f t="shared" si="33"/>
        <v>0</v>
      </c>
      <c r="AE61" s="46">
        <f>AC61</f>
        <v>0</v>
      </c>
      <c r="AF61" s="127">
        <f t="shared" si="34"/>
        <v>0</v>
      </c>
      <c r="AG61" s="46">
        <f>AE61</f>
        <v>0</v>
      </c>
      <c r="AH61" s="127">
        <f t="shared" si="35"/>
        <v>0</v>
      </c>
      <c r="AI61" s="46">
        <f>AG61</f>
        <v>0</v>
      </c>
      <c r="AJ61" s="127">
        <f t="shared" si="36"/>
        <v>0</v>
      </c>
    </row>
    <row r="62" spans="2:37">
      <c r="B62" s="129" t="s">
        <v>276</v>
      </c>
      <c r="C62" s="156">
        <v>0</v>
      </c>
      <c r="D62" s="119">
        <f t="shared" si="10"/>
        <v>0</v>
      </c>
      <c r="E62" s="157">
        <f t="shared" si="23"/>
        <v>2695.5</v>
      </c>
      <c r="F62" s="121">
        <f t="shared" si="11"/>
        <v>2.8466125405812578E-3</v>
      </c>
      <c r="G62" s="120">
        <f t="shared" si="12"/>
        <v>-2695.5</v>
      </c>
      <c r="H62" s="119"/>
      <c r="I62" s="156">
        <v>5391</v>
      </c>
      <c r="J62" s="123">
        <f>+I62/'[2]Data Entry'!$C$11</f>
        <v>65.743902439024396</v>
      </c>
      <c r="K62" s="48">
        <f t="shared" si="13"/>
        <v>2.8466125405812578E-3</v>
      </c>
      <c r="L62" s="159">
        <f t="shared" si="24"/>
        <v>5444.91</v>
      </c>
      <c r="M62" s="123">
        <f>+L62/'[2]Data Entry'!$C$11</f>
        <v>66.401341463414639</v>
      </c>
      <c r="N62" s="125">
        <f t="shared" si="14"/>
        <v>2.5784267184816344E-3</v>
      </c>
      <c r="O62" s="160">
        <f t="shared" si="15"/>
        <v>5499.3590999999997</v>
      </c>
      <c r="P62" s="123">
        <f>+O62/'[2]Data Entry'!$C$11</f>
        <v>67.06535487804878</v>
      </c>
      <c r="Q62" s="125">
        <f t="shared" si="16"/>
        <v>2.3602852089635185E-3</v>
      </c>
      <c r="R62" s="160">
        <f t="shared" si="17"/>
        <v>5554.352691</v>
      </c>
      <c r="S62" s="123">
        <f>+R62/'[2]Data Entry'!$C$11</f>
        <v>67.736008426829272</v>
      </c>
      <c r="T62" s="125">
        <f t="shared" si="18"/>
        <v>2.2187468985131078E-3</v>
      </c>
      <c r="U62" s="160">
        <f t="shared" si="19"/>
        <v>5609.8962179099999</v>
      </c>
      <c r="V62" s="123">
        <f>+U62/'[2]Data Entry'!$C$11</f>
        <v>68.413368511097559</v>
      </c>
      <c r="W62" s="125">
        <f t="shared" si="20"/>
        <v>2.1792452106100899E-3</v>
      </c>
      <c r="X62" s="160">
        <f t="shared" si="21"/>
        <v>5665.9951800891004</v>
      </c>
      <c r="Y62" s="123">
        <f>+X62/'[2]Data Entry'!$C$11</f>
        <v>69.097502196208538</v>
      </c>
      <c r="Z62" s="48">
        <f t="shared" si="22"/>
        <v>2.1403840781178372E-3</v>
      </c>
      <c r="AA62" s="46">
        <f t="shared" si="30"/>
        <v>5665.9951800891004</v>
      </c>
      <c r="AB62" s="127">
        <f t="shared" si="31"/>
        <v>2.1403840781178372E-3</v>
      </c>
      <c r="AC62" s="46">
        <f t="shared" si="32"/>
        <v>5665.9951800891004</v>
      </c>
      <c r="AD62" s="127">
        <f t="shared" si="33"/>
        <v>2.1403840781178372E-3</v>
      </c>
      <c r="AE62" s="46">
        <f t="shared" si="32"/>
        <v>5665.9951800891004</v>
      </c>
      <c r="AF62" s="127">
        <f t="shared" si="34"/>
        <v>2.1403840781178372E-3</v>
      </c>
      <c r="AG62" s="46">
        <f t="shared" si="32"/>
        <v>5665.9951800891004</v>
      </c>
      <c r="AH62" s="127">
        <f t="shared" si="35"/>
        <v>2.1403840781178372E-3</v>
      </c>
      <c r="AI62" s="46">
        <f t="shared" si="32"/>
        <v>5665.9951800891004</v>
      </c>
      <c r="AJ62" s="127">
        <f t="shared" si="36"/>
        <v>2.1403840781178372E-3</v>
      </c>
    </row>
    <row r="63" spans="2:37">
      <c r="B63" s="129" t="s">
        <v>277</v>
      </c>
      <c r="C63" s="156">
        <v>0</v>
      </c>
      <c r="D63" s="119">
        <f t="shared" si="10"/>
        <v>0</v>
      </c>
      <c r="E63" s="157">
        <f t="shared" si="23"/>
        <v>0</v>
      </c>
      <c r="F63" s="121">
        <f t="shared" si="11"/>
        <v>0</v>
      </c>
      <c r="G63" s="120">
        <f t="shared" si="12"/>
        <v>0</v>
      </c>
      <c r="H63" s="119"/>
      <c r="I63" s="156">
        <v>0</v>
      </c>
      <c r="J63" s="123">
        <f>+I63/'[2]Data Entry'!$C$11</f>
        <v>0</v>
      </c>
      <c r="K63" s="48">
        <f t="shared" si="13"/>
        <v>0</v>
      </c>
      <c r="L63" s="159">
        <f t="shared" si="24"/>
        <v>0</v>
      </c>
      <c r="M63" s="123">
        <f>+L63/'[2]Data Entry'!$C$11</f>
        <v>0</v>
      </c>
      <c r="N63" s="125">
        <f t="shared" si="14"/>
        <v>0</v>
      </c>
      <c r="O63" s="160">
        <f t="shared" si="15"/>
        <v>0</v>
      </c>
      <c r="P63" s="123">
        <f>+O63/'[2]Data Entry'!$C$11</f>
        <v>0</v>
      </c>
      <c r="Q63" s="125">
        <f t="shared" si="16"/>
        <v>0</v>
      </c>
      <c r="R63" s="160">
        <f t="shared" si="17"/>
        <v>0</v>
      </c>
      <c r="S63" s="123">
        <f>+R63/'[2]Data Entry'!$C$11</f>
        <v>0</v>
      </c>
      <c r="T63" s="125">
        <f t="shared" si="18"/>
        <v>0</v>
      </c>
      <c r="U63" s="160">
        <f t="shared" si="19"/>
        <v>0</v>
      </c>
      <c r="V63" s="123">
        <f>+U63/'[2]Data Entry'!$C$11</f>
        <v>0</v>
      </c>
      <c r="W63" s="125">
        <f t="shared" si="20"/>
        <v>0</v>
      </c>
      <c r="X63" s="160">
        <f t="shared" si="21"/>
        <v>0</v>
      </c>
      <c r="Y63" s="123">
        <f>+X63/'[2]Data Entry'!$C$11</f>
        <v>0</v>
      </c>
      <c r="Z63" s="48">
        <f t="shared" si="22"/>
        <v>0</v>
      </c>
      <c r="AA63" s="46">
        <f t="shared" si="30"/>
        <v>0</v>
      </c>
      <c r="AB63" s="127">
        <f t="shared" si="31"/>
        <v>0</v>
      </c>
      <c r="AC63" s="46">
        <f t="shared" si="32"/>
        <v>0</v>
      </c>
      <c r="AD63" s="127">
        <f t="shared" si="33"/>
        <v>0</v>
      </c>
      <c r="AE63" s="46">
        <f t="shared" si="32"/>
        <v>0</v>
      </c>
      <c r="AF63" s="127">
        <f t="shared" si="34"/>
        <v>0</v>
      </c>
      <c r="AG63" s="46">
        <f t="shared" si="32"/>
        <v>0</v>
      </c>
      <c r="AH63" s="127">
        <f t="shared" si="35"/>
        <v>0</v>
      </c>
      <c r="AI63" s="46">
        <f t="shared" si="32"/>
        <v>0</v>
      </c>
      <c r="AJ63" s="127">
        <f t="shared" si="36"/>
        <v>0</v>
      </c>
    </row>
    <row r="64" spans="2:37">
      <c r="B64" s="129" t="s">
        <v>278</v>
      </c>
      <c r="C64" s="156">
        <v>0</v>
      </c>
      <c r="D64" s="119">
        <f t="shared" si="10"/>
        <v>0</v>
      </c>
      <c r="E64" s="157">
        <f t="shared" si="23"/>
        <v>61</v>
      </c>
      <c r="F64" s="121">
        <f t="shared" si="11"/>
        <v>6.4419723604324512E-5</v>
      </c>
      <c r="G64" s="120">
        <f t="shared" si="12"/>
        <v>-61</v>
      </c>
      <c r="H64" s="119"/>
      <c r="I64" s="156">
        <v>122</v>
      </c>
      <c r="J64" s="123">
        <f>+I64/'[2]Data Entry'!$C$11</f>
        <v>1.4878048780487805</v>
      </c>
      <c r="K64" s="48">
        <f t="shared" si="13"/>
        <v>6.4419723604324512E-5</v>
      </c>
      <c r="L64" s="159">
        <f t="shared" si="24"/>
        <v>123.22</v>
      </c>
      <c r="M64" s="123">
        <f>+L64/'[2]Data Entry'!$C$11</f>
        <v>1.5026829268292683</v>
      </c>
      <c r="N64" s="125">
        <f t="shared" si="14"/>
        <v>5.8350595372799003E-5</v>
      </c>
      <c r="O64" s="160">
        <f t="shared" si="15"/>
        <v>124.4522</v>
      </c>
      <c r="P64" s="123">
        <f>+O64/'[2]Data Entry'!$C$11</f>
        <v>1.517709756097561</v>
      </c>
      <c r="Q64" s="125">
        <f t="shared" si="16"/>
        <v>5.3413985437497552E-5</v>
      </c>
      <c r="R64" s="160">
        <f t="shared" si="17"/>
        <v>125.69672200000001</v>
      </c>
      <c r="S64" s="123">
        <f>+R64/'[2]Data Entry'!$C$11</f>
        <v>1.5328868536585367</v>
      </c>
      <c r="T64" s="125">
        <f t="shared" si="18"/>
        <v>5.0210929626896528E-5</v>
      </c>
      <c r="U64" s="160">
        <f t="shared" si="19"/>
        <v>126.95368922000002</v>
      </c>
      <c r="V64" s="123">
        <f>+U64/'[2]Data Entry'!$C$11</f>
        <v>1.548215722195122</v>
      </c>
      <c r="W64" s="125">
        <f t="shared" si="20"/>
        <v>4.9316994192994064E-5</v>
      </c>
      <c r="X64" s="160">
        <f t="shared" si="21"/>
        <v>128.22322611220002</v>
      </c>
      <c r="Y64" s="123">
        <f>+X64/'[2]Data Entry'!$C$11</f>
        <v>1.5636978794170735</v>
      </c>
      <c r="Z64" s="48">
        <f t="shared" si="22"/>
        <v>4.843755472646562E-5</v>
      </c>
      <c r="AA64" s="46">
        <f t="shared" si="30"/>
        <v>128.22322611220002</v>
      </c>
      <c r="AB64" s="127">
        <f t="shared" si="31"/>
        <v>4.843755472646562E-5</v>
      </c>
      <c r="AC64" s="46">
        <f t="shared" si="32"/>
        <v>128.22322611220002</v>
      </c>
      <c r="AD64" s="127">
        <f t="shared" si="33"/>
        <v>4.843755472646562E-5</v>
      </c>
      <c r="AE64" s="46">
        <f t="shared" si="32"/>
        <v>128.22322611220002</v>
      </c>
      <c r="AF64" s="127">
        <f t="shared" si="34"/>
        <v>4.843755472646562E-5</v>
      </c>
      <c r="AG64" s="46">
        <f t="shared" si="32"/>
        <v>128.22322611220002</v>
      </c>
      <c r="AH64" s="127">
        <f t="shared" si="35"/>
        <v>4.843755472646562E-5</v>
      </c>
      <c r="AI64" s="46">
        <f t="shared" si="32"/>
        <v>128.22322611220002</v>
      </c>
      <c r="AJ64" s="127">
        <f t="shared" si="36"/>
        <v>4.843755472646562E-5</v>
      </c>
    </row>
    <row r="65" spans="2:36">
      <c r="B65" s="129" t="s">
        <v>279</v>
      </c>
      <c r="C65" s="156">
        <f>'IS (Combined)'!D29</f>
        <v>24467.27</v>
      </c>
      <c r="D65" s="119">
        <f t="shared" si="10"/>
        <v>2.6649914522325461E-2</v>
      </c>
      <c r="E65" s="157">
        <f t="shared" si="23"/>
        <v>5786</v>
      </c>
      <c r="F65" s="121">
        <f t="shared" si="11"/>
        <v>6.1103691930265843E-3</v>
      </c>
      <c r="G65" s="120">
        <f t="shared" si="12"/>
        <v>18681.27</v>
      </c>
      <c r="H65" s="119"/>
      <c r="I65" s="156">
        <v>11572</v>
      </c>
      <c r="J65" s="123">
        <f>+I65/'[2]Data Entry'!$C$11</f>
        <v>141.1219512195122</v>
      </c>
      <c r="K65" s="48">
        <f t="shared" si="13"/>
        <v>6.1103691930265843E-3</v>
      </c>
      <c r="L65" s="159">
        <v>31688</v>
      </c>
      <c r="M65" s="123">
        <f>+L65/'[2]Data Entry'!$C$11</f>
        <v>386.4390243902439</v>
      </c>
      <c r="N65" s="125">
        <f t="shared" si="14"/>
        <v>1.500579180468475E-2</v>
      </c>
      <c r="O65" s="160">
        <v>31688</v>
      </c>
      <c r="P65" s="123">
        <f>+O65/'[2]Data Entry'!$C$11</f>
        <v>386.4390243902439</v>
      </c>
      <c r="Q65" s="125">
        <f t="shared" si="16"/>
        <v>1.3600260747045229E-2</v>
      </c>
      <c r="R65" s="160">
        <f t="shared" si="17"/>
        <v>32004.880000000001</v>
      </c>
      <c r="S65" s="123">
        <f>+R65/'[2]Data Entry'!$C$11</f>
        <v>390.30341463414635</v>
      </c>
      <c r="T65" s="125">
        <f t="shared" si="18"/>
        <v>1.2784699169778414E-2</v>
      </c>
      <c r="U65" s="160">
        <f t="shared" si="19"/>
        <v>32324.928800000002</v>
      </c>
      <c r="V65" s="123">
        <f>+U65/'[2]Data Entry'!$C$11</f>
        <v>394.20644878048785</v>
      </c>
      <c r="W65" s="125">
        <f t="shared" si="20"/>
        <v>1.2557085467252455E-2</v>
      </c>
      <c r="X65" s="160">
        <f t="shared" si="21"/>
        <v>32648.178088000001</v>
      </c>
      <c r="Y65" s="123">
        <f>+X65/'[2]Data Entry'!$C$11</f>
        <v>398.14851326829267</v>
      </c>
      <c r="Z65" s="48">
        <f t="shared" si="22"/>
        <v>1.2333162725707078E-2</v>
      </c>
      <c r="AA65" s="46">
        <f t="shared" si="30"/>
        <v>32648.178088000001</v>
      </c>
      <c r="AB65" s="127">
        <f t="shared" si="31"/>
        <v>1.2333162725707078E-2</v>
      </c>
      <c r="AC65" s="46">
        <f t="shared" si="32"/>
        <v>32648.178088000001</v>
      </c>
      <c r="AD65" s="127">
        <f t="shared" si="33"/>
        <v>1.2333162725707078E-2</v>
      </c>
      <c r="AE65" s="46">
        <f t="shared" si="32"/>
        <v>32648.178088000001</v>
      </c>
      <c r="AF65" s="127">
        <f t="shared" si="34"/>
        <v>1.2333162725707078E-2</v>
      </c>
      <c r="AG65" s="46">
        <f t="shared" si="32"/>
        <v>32648.178088000001</v>
      </c>
      <c r="AH65" s="127">
        <f t="shared" si="35"/>
        <v>1.2333162725707078E-2</v>
      </c>
      <c r="AI65" s="46">
        <f t="shared" si="32"/>
        <v>32648.178088000001</v>
      </c>
      <c r="AJ65" s="127">
        <f t="shared" si="36"/>
        <v>1.2333162725707078E-2</v>
      </c>
    </row>
    <row r="66" spans="2:36">
      <c r="B66" s="129" t="s">
        <v>280</v>
      </c>
      <c r="C66" s="156">
        <v>0</v>
      </c>
      <c r="D66" s="119">
        <f t="shared" si="10"/>
        <v>0</v>
      </c>
      <c r="E66" s="157">
        <f t="shared" si="23"/>
        <v>12000</v>
      </c>
      <c r="F66" s="121">
        <f t="shared" si="11"/>
        <v>1.2672732512326134E-2</v>
      </c>
      <c r="G66" s="120">
        <f t="shared" si="12"/>
        <v>-12000</v>
      </c>
      <c r="H66" s="119"/>
      <c r="I66" s="156">
        <v>24000</v>
      </c>
      <c r="J66" s="123">
        <f>+I66/'[2]Data Entry'!$C$11</f>
        <v>292.6829268292683</v>
      </c>
      <c r="K66" s="48">
        <f t="shared" si="13"/>
        <v>1.2672732512326134E-2</v>
      </c>
      <c r="L66" s="156">
        <v>33150</v>
      </c>
      <c r="M66" s="123">
        <f>+L66/'[2]Data Entry'!$C$11</f>
        <v>404.26829268292681</v>
      </c>
      <c r="N66" s="125">
        <f t="shared" si="14"/>
        <v>1.5698119108978146E-2</v>
      </c>
      <c r="O66" s="157">
        <v>66300</v>
      </c>
      <c r="P66" s="123">
        <f>+O66/'[2]Data Entry'!$C$11</f>
        <v>808.53658536585363</v>
      </c>
      <c r="Q66" s="125">
        <f t="shared" si="16"/>
        <v>2.8455481176757721E-2</v>
      </c>
      <c r="R66" s="160">
        <f t="shared" si="17"/>
        <v>66963</v>
      </c>
      <c r="S66" s="123">
        <f>+R66/'[2]Data Entry'!$C$11</f>
        <v>816.6219512195122</v>
      </c>
      <c r="T66" s="125">
        <f t="shared" si="18"/>
        <v>2.6749102340201614E-2</v>
      </c>
      <c r="U66" s="160">
        <f t="shared" si="19"/>
        <v>67632.63</v>
      </c>
      <c r="V66" s="123">
        <f>+U66/'[2]Data Entry'!$C$11</f>
        <v>824.7881707317074</v>
      </c>
      <c r="W66" s="125">
        <f t="shared" si="20"/>
        <v>2.6272871954015328E-2</v>
      </c>
      <c r="X66" s="160">
        <f t="shared" si="21"/>
        <v>68308.956300000005</v>
      </c>
      <c r="Y66" s="123">
        <f>+X66/'[2]Data Entry'!$C$11</f>
        <v>833.0360524390245</v>
      </c>
      <c r="Z66" s="48">
        <f t="shared" si="22"/>
        <v>2.580436407202661E-2</v>
      </c>
      <c r="AA66" s="46">
        <f t="shared" si="30"/>
        <v>68308.956300000005</v>
      </c>
      <c r="AB66" s="127">
        <f t="shared" si="31"/>
        <v>2.580436407202661E-2</v>
      </c>
      <c r="AC66" s="46">
        <f t="shared" si="32"/>
        <v>68308.956300000005</v>
      </c>
      <c r="AD66" s="127">
        <f t="shared" si="33"/>
        <v>2.580436407202661E-2</v>
      </c>
      <c r="AE66" s="46">
        <f t="shared" si="32"/>
        <v>68308.956300000005</v>
      </c>
      <c r="AF66" s="127">
        <f t="shared" si="34"/>
        <v>2.580436407202661E-2</v>
      </c>
      <c r="AG66" s="46">
        <f t="shared" si="32"/>
        <v>68308.956300000005</v>
      </c>
      <c r="AH66" s="127">
        <f t="shared" si="35"/>
        <v>2.580436407202661E-2</v>
      </c>
      <c r="AI66" s="46">
        <f t="shared" si="32"/>
        <v>68308.956300000005</v>
      </c>
      <c r="AJ66" s="127">
        <f t="shared" si="36"/>
        <v>2.580436407202661E-2</v>
      </c>
    </row>
    <row r="67" spans="2:36">
      <c r="B67" s="129" t="s">
        <v>281</v>
      </c>
      <c r="C67" s="156">
        <v>0</v>
      </c>
      <c r="D67" s="119">
        <f t="shared" si="10"/>
        <v>0</v>
      </c>
      <c r="E67" s="157">
        <f t="shared" si="23"/>
        <v>0</v>
      </c>
      <c r="F67" s="121">
        <f t="shared" si="11"/>
        <v>0</v>
      </c>
      <c r="G67" s="120">
        <f t="shared" si="12"/>
        <v>0</v>
      </c>
      <c r="H67" s="119"/>
      <c r="I67" s="156">
        <v>0</v>
      </c>
      <c r="J67" s="123">
        <f>+I67/'[2]Data Entry'!$C$11</f>
        <v>0</v>
      </c>
      <c r="K67" s="48">
        <f t="shared" si="13"/>
        <v>0</v>
      </c>
      <c r="L67" s="159">
        <f t="shared" ref="L67:L82" si="37">+I67*(1+$L$8)</f>
        <v>0</v>
      </c>
      <c r="M67" s="123">
        <f>+L67/'[2]Data Entry'!$C$11</f>
        <v>0</v>
      </c>
      <c r="N67" s="125">
        <f t="shared" si="14"/>
        <v>0</v>
      </c>
      <c r="O67" s="160">
        <f t="shared" ref="O67:O82" si="38">+L67*(1+$L$8)</f>
        <v>0</v>
      </c>
      <c r="P67" s="123">
        <f>+O67/'[2]Data Entry'!$C$11</f>
        <v>0</v>
      </c>
      <c r="Q67" s="125">
        <f t="shared" si="16"/>
        <v>0</v>
      </c>
      <c r="R67" s="160">
        <f t="shared" si="17"/>
        <v>0</v>
      </c>
      <c r="S67" s="123">
        <f>+R67/'[2]Data Entry'!$C$11</f>
        <v>0</v>
      </c>
      <c r="T67" s="125">
        <f t="shared" si="18"/>
        <v>0</v>
      </c>
      <c r="U67" s="160">
        <f t="shared" si="19"/>
        <v>0</v>
      </c>
      <c r="V67" s="123">
        <f>+U67/'[2]Data Entry'!$C$11</f>
        <v>0</v>
      </c>
      <c r="W67" s="125">
        <f t="shared" si="20"/>
        <v>0</v>
      </c>
      <c r="X67" s="160">
        <f t="shared" si="21"/>
        <v>0</v>
      </c>
      <c r="Y67" s="123">
        <f>+X67/'[2]Data Entry'!$C$11</f>
        <v>0</v>
      </c>
      <c r="Z67" s="48">
        <f t="shared" si="22"/>
        <v>0</v>
      </c>
      <c r="AA67" s="46">
        <f t="shared" si="30"/>
        <v>0</v>
      </c>
      <c r="AB67" s="127">
        <f t="shared" si="31"/>
        <v>0</v>
      </c>
      <c r="AC67" s="46">
        <f t="shared" si="32"/>
        <v>0</v>
      </c>
      <c r="AD67" s="127">
        <f t="shared" si="33"/>
        <v>0</v>
      </c>
      <c r="AE67" s="46">
        <f t="shared" si="32"/>
        <v>0</v>
      </c>
      <c r="AF67" s="127">
        <f t="shared" si="34"/>
        <v>0</v>
      </c>
      <c r="AG67" s="46">
        <f t="shared" si="32"/>
        <v>0</v>
      </c>
      <c r="AH67" s="127">
        <f t="shared" si="35"/>
        <v>0</v>
      </c>
      <c r="AI67" s="46">
        <f t="shared" si="32"/>
        <v>0</v>
      </c>
      <c r="AJ67" s="127">
        <f t="shared" si="36"/>
        <v>0</v>
      </c>
    </row>
    <row r="68" spans="2:36">
      <c r="B68" s="129" t="s">
        <v>282</v>
      </c>
      <c r="C68" s="156">
        <v>0</v>
      </c>
      <c r="D68" s="119">
        <f t="shared" si="10"/>
        <v>0</v>
      </c>
      <c r="E68" s="157">
        <f t="shared" si="23"/>
        <v>0</v>
      </c>
      <c r="F68" s="121">
        <f t="shared" si="11"/>
        <v>0</v>
      </c>
      <c r="G68" s="120">
        <f t="shared" si="12"/>
        <v>0</v>
      </c>
      <c r="H68" s="119"/>
      <c r="I68" s="156">
        <v>0</v>
      </c>
      <c r="J68" s="123">
        <f>+I68/'[2]Data Entry'!$C$11</f>
        <v>0</v>
      </c>
      <c r="K68" s="48">
        <f t="shared" si="13"/>
        <v>0</v>
      </c>
      <c r="L68" s="159">
        <f>SUM(I97/2)</f>
        <v>22565</v>
      </c>
      <c r="M68" s="123">
        <f>+L68/'[2]Data Entry'!$C$11</f>
        <v>275.1829268292683</v>
      </c>
      <c r="N68" s="125">
        <f t="shared" si="14"/>
        <v>1.0685612600123434E-2</v>
      </c>
      <c r="O68" s="160">
        <f>SUM(I97*0.9)</f>
        <v>40617</v>
      </c>
      <c r="P68" s="123">
        <f>+O68/'[2]Data Entry'!$C$11</f>
        <v>495.32926829268291</v>
      </c>
      <c r="Q68" s="125">
        <f t="shared" si="16"/>
        <v>1.7432523061182027E-2</v>
      </c>
      <c r="R68" s="160">
        <f t="shared" si="17"/>
        <v>41023.17</v>
      </c>
      <c r="S68" s="123">
        <f>+R68/'[2]Data Entry'!$C$11</f>
        <v>500.28256097560973</v>
      </c>
      <c r="T68" s="125">
        <f t="shared" si="18"/>
        <v>1.6387153691583244E-2</v>
      </c>
      <c r="U68" s="160">
        <f t="shared" si="19"/>
        <v>41433.401700000002</v>
      </c>
      <c r="V68" s="123">
        <f>+U68/'[2]Data Entry'!$C$11</f>
        <v>505.28538658536587</v>
      </c>
      <c r="W68" s="125">
        <f t="shared" si="20"/>
        <v>1.6095403320606948E-2</v>
      </c>
      <c r="X68" s="160">
        <f t="shared" si="21"/>
        <v>41847.735717000003</v>
      </c>
      <c r="Y68" s="123">
        <f>+X68/'[2]Data Entry'!$C$11</f>
        <v>510.33824045121958</v>
      </c>
      <c r="Z68" s="48">
        <f t="shared" si="22"/>
        <v>1.5808383944396754E-2</v>
      </c>
      <c r="AA68" s="46">
        <f t="shared" si="30"/>
        <v>41847.735717000003</v>
      </c>
      <c r="AB68" s="127">
        <f t="shared" si="31"/>
        <v>1.5808383944396754E-2</v>
      </c>
      <c r="AC68" s="46">
        <f t="shared" si="32"/>
        <v>41847.735717000003</v>
      </c>
      <c r="AD68" s="127">
        <f t="shared" si="33"/>
        <v>1.5808383944396754E-2</v>
      </c>
      <c r="AE68" s="46">
        <f t="shared" si="32"/>
        <v>41847.735717000003</v>
      </c>
      <c r="AF68" s="127">
        <f t="shared" si="34"/>
        <v>1.5808383944396754E-2</v>
      </c>
      <c r="AG68" s="46">
        <f t="shared" si="32"/>
        <v>41847.735717000003</v>
      </c>
      <c r="AH68" s="127">
        <f t="shared" si="35"/>
        <v>1.5808383944396754E-2</v>
      </c>
      <c r="AI68" s="46">
        <f t="shared" si="32"/>
        <v>41847.735717000003</v>
      </c>
      <c r="AJ68" s="127">
        <f t="shared" si="36"/>
        <v>1.5808383944396754E-2</v>
      </c>
    </row>
    <row r="69" spans="2:36" ht="20.25" customHeight="1">
      <c r="B69" s="129" t="s">
        <v>283</v>
      </c>
      <c r="C69" s="156">
        <v>0</v>
      </c>
      <c r="D69" s="119">
        <f t="shared" si="10"/>
        <v>0</v>
      </c>
      <c r="E69" s="157">
        <f t="shared" si="23"/>
        <v>0</v>
      </c>
      <c r="F69" s="121">
        <f t="shared" si="11"/>
        <v>0</v>
      </c>
      <c r="G69" s="120">
        <f t="shared" si="12"/>
        <v>0</v>
      </c>
      <c r="H69" s="119"/>
      <c r="I69" s="156">
        <v>0</v>
      </c>
      <c r="J69" s="123">
        <f>+I69/'[2]Data Entry'!$C$11</f>
        <v>0</v>
      </c>
      <c r="K69" s="48">
        <f t="shared" si="13"/>
        <v>0</v>
      </c>
      <c r="L69" s="159">
        <f t="shared" si="37"/>
        <v>0</v>
      </c>
      <c r="M69" s="123">
        <f>+L69/'[2]Data Entry'!$C$11</f>
        <v>0</v>
      </c>
      <c r="N69" s="125">
        <f t="shared" si="14"/>
        <v>0</v>
      </c>
      <c r="O69" s="160">
        <f t="shared" si="38"/>
        <v>0</v>
      </c>
      <c r="P69" s="123">
        <f>+O69/'[2]Data Entry'!$C$11</f>
        <v>0</v>
      </c>
      <c r="Q69" s="125">
        <f t="shared" si="16"/>
        <v>0</v>
      </c>
      <c r="R69" s="160">
        <f t="shared" si="17"/>
        <v>0</v>
      </c>
      <c r="S69" s="123">
        <f>+R69/'[2]Data Entry'!$C$11</f>
        <v>0</v>
      </c>
      <c r="T69" s="125">
        <f t="shared" si="18"/>
        <v>0</v>
      </c>
      <c r="U69" s="160">
        <f t="shared" si="19"/>
        <v>0</v>
      </c>
      <c r="V69" s="123">
        <f>+U69/'[2]Data Entry'!$C$11</f>
        <v>0</v>
      </c>
      <c r="W69" s="125">
        <f t="shared" si="20"/>
        <v>0</v>
      </c>
      <c r="X69" s="160">
        <f t="shared" si="21"/>
        <v>0</v>
      </c>
      <c r="Y69" s="123">
        <f>+X69/'[2]Data Entry'!$C$11</f>
        <v>0</v>
      </c>
      <c r="Z69" s="48">
        <f t="shared" si="22"/>
        <v>0</v>
      </c>
      <c r="AA69" s="46">
        <f t="shared" si="30"/>
        <v>0</v>
      </c>
      <c r="AB69" s="127">
        <f t="shared" si="31"/>
        <v>0</v>
      </c>
      <c r="AC69" s="46">
        <f t="shared" si="32"/>
        <v>0</v>
      </c>
      <c r="AD69" s="127">
        <f t="shared" si="33"/>
        <v>0</v>
      </c>
      <c r="AE69" s="46">
        <f t="shared" si="32"/>
        <v>0</v>
      </c>
      <c r="AF69" s="127">
        <f t="shared" si="34"/>
        <v>0</v>
      </c>
      <c r="AG69" s="46">
        <f t="shared" si="32"/>
        <v>0</v>
      </c>
      <c r="AH69" s="127">
        <f t="shared" si="35"/>
        <v>0</v>
      </c>
      <c r="AI69" s="46">
        <f t="shared" si="32"/>
        <v>0</v>
      </c>
      <c r="AJ69" s="127">
        <f t="shared" si="36"/>
        <v>0</v>
      </c>
    </row>
    <row r="70" spans="2:36">
      <c r="B70" s="129" t="s">
        <v>284</v>
      </c>
      <c r="C70" s="156">
        <f>'IS (Combined)'!D30</f>
        <v>-221</v>
      </c>
      <c r="D70" s="119">
        <f t="shared" si="10"/>
        <v>-2.4071468167204295E-4</v>
      </c>
      <c r="E70" s="157">
        <f t="shared" si="23"/>
        <v>0</v>
      </c>
      <c r="F70" s="121">
        <f t="shared" si="11"/>
        <v>0</v>
      </c>
      <c r="G70" s="120">
        <f t="shared" si="12"/>
        <v>-221</v>
      </c>
      <c r="H70" s="119"/>
      <c r="I70" s="156">
        <v>0</v>
      </c>
      <c r="J70" s="123">
        <f>+I70/'[2]Data Entry'!$C$11</f>
        <v>0</v>
      </c>
      <c r="K70" s="48">
        <f t="shared" si="13"/>
        <v>0</v>
      </c>
      <c r="L70" s="159">
        <f t="shared" si="37"/>
        <v>0</v>
      </c>
      <c r="M70" s="123">
        <f>+L70/'[2]Data Entry'!$C$11</f>
        <v>0</v>
      </c>
      <c r="N70" s="125">
        <f t="shared" si="14"/>
        <v>0</v>
      </c>
      <c r="O70" s="160">
        <f t="shared" si="38"/>
        <v>0</v>
      </c>
      <c r="P70" s="123">
        <f>+O70/'[2]Data Entry'!$C$11</f>
        <v>0</v>
      </c>
      <c r="Q70" s="125">
        <f t="shared" si="16"/>
        <v>0</v>
      </c>
      <c r="R70" s="160">
        <f t="shared" si="17"/>
        <v>0</v>
      </c>
      <c r="S70" s="123">
        <f>+R70/'[2]Data Entry'!$C$11</f>
        <v>0</v>
      </c>
      <c r="T70" s="125">
        <f t="shared" si="18"/>
        <v>0</v>
      </c>
      <c r="U70" s="160">
        <f t="shared" si="19"/>
        <v>0</v>
      </c>
      <c r="V70" s="123">
        <f>+U70/'[2]Data Entry'!$C$11</f>
        <v>0</v>
      </c>
      <c r="W70" s="125">
        <f t="shared" si="20"/>
        <v>0</v>
      </c>
      <c r="X70" s="160">
        <f t="shared" si="21"/>
        <v>0</v>
      </c>
      <c r="Y70" s="123">
        <f>+X70/'[2]Data Entry'!$C$11</f>
        <v>0</v>
      </c>
      <c r="Z70" s="48">
        <f t="shared" si="22"/>
        <v>0</v>
      </c>
      <c r="AA70" s="46">
        <f t="shared" si="30"/>
        <v>0</v>
      </c>
      <c r="AB70" s="127">
        <f t="shared" si="31"/>
        <v>0</v>
      </c>
      <c r="AC70" s="46">
        <f t="shared" si="32"/>
        <v>0</v>
      </c>
      <c r="AD70" s="127">
        <f t="shared" si="33"/>
        <v>0</v>
      </c>
      <c r="AE70" s="46">
        <f t="shared" si="32"/>
        <v>0</v>
      </c>
      <c r="AF70" s="127">
        <f t="shared" si="34"/>
        <v>0</v>
      </c>
      <c r="AG70" s="46">
        <f t="shared" si="32"/>
        <v>0</v>
      </c>
      <c r="AH70" s="127">
        <f t="shared" si="35"/>
        <v>0</v>
      </c>
      <c r="AI70" s="46">
        <f t="shared" si="32"/>
        <v>0</v>
      </c>
      <c r="AJ70" s="127">
        <f t="shared" si="36"/>
        <v>0</v>
      </c>
    </row>
    <row r="71" spans="2:36">
      <c r="B71" s="129" t="s">
        <v>285</v>
      </c>
      <c r="C71" s="156">
        <v>0</v>
      </c>
      <c r="D71" s="119">
        <f t="shared" si="10"/>
        <v>0</v>
      </c>
      <c r="E71" s="157">
        <f t="shared" si="23"/>
        <v>0</v>
      </c>
      <c r="F71" s="121">
        <f t="shared" si="11"/>
        <v>0</v>
      </c>
      <c r="G71" s="120">
        <f t="shared" si="12"/>
        <v>0</v>
      </c>
      <c r="H71" s="119"/>
      <c r="I71" s="156">
        <v>0</v>
      </c>
      <c r="J71" s="123">
        <f>+I71/'[2]Data Entry'!$C$11</f>
        <v>0</v>
      </c>
      <c r="K71" s="48">
        <f t="shared" si="13"/>
        <v>0</v>
      </c>
      <c r="L71" s="159">
        <f t="shared" si="37"/>
        <v>0</v>
      </c>
      <c r="M71" s="123">
        <f>+L71/'[2]Data Entry'!$C$11</f>
        <v>0</v>
      </c>
      <c r="N71" s="125">
        <f t="shared" si="14"/>
        <v>0</v>
      </c>
      <c r="O71" s="160">
        <f t="shared" si="38"/>
        <v>0</v>
      </c>
      <c r="P71" s="123">
        <f>+O71/'[2]Data Entry'!$C$11</f>
        <v>0</v>
      </c>
      <c r="Q71" s="125">
        <f t="shared" si="16"/>
        <v>0</v>
      </c>
      <c r="R71" s="160">
        <f t="shared" si="17"/>
        <v>0</v>
      </c>
      <c r="S71" s="123">
        <f>+R71/'[2]Data Entry'!$C$11</f>
        <v>0</v>
      </c>
      <c r="T71" s="125">
        <f t="shared" si="18"/>
        <v>0</v>
      </c>
      <c r="U71" s="160">
        <f t="shared" si="19"/>
        <v>0</v>
      </c>
      <c r="V71" s="123">
        <f>+U71/'[2]Data Entry'!$C$11</f>
        <v>0</v>
      </c>
      <c r="W71" s="125">
        <f t="shared" si="20"/>
        <v>0</v>
      </c>
      <c r="X71" s="160">
        <f t="shared" si="21"/>
        <v>0</v>
      </c>
      <c r="Y71" s="123">
        <f>+X71/'[2]Data Entry'!$C$11</f>
        <v>0</v>
      </c>
      <c r="Z71" s="48">
        <f t="shared" si="22"/>
        <v>0</v>
      </c>
      <c r="AA71" s="46">
        <f t="shared" si="30"/>
        <v>0</v>
      </c>
      <c r="AB71" s="127">
        <f t="shared" si="31"/>
        <v>0</v>
      </c>
      <c r="AC71" s="46">
        <f t="shared" si="32"/>
        <v>0</v>
      </c>
      <c r="AD71" s="127">
        <f t="shared" si="33"/>
        <v>0</v>
      </c>
      <c r="AE71" s="46">
        <f t="shared" si="32"/>
        <v>0</v>
      </c>
      <c r="AF71" s="127">
        <f t="shared" si="34"/>
        <v>0</v>
      </c>
      <c r="AG71" s="46">
        <f t="shared" si="32"/>
        <v>0</v>
      </c>
      <c r="AH71" s="127">
        <f t="shared" si="35"/>
        <v>0</v>
      </c>
      <c r="AI71" s="46">
        <f t="shared" si="32"/>
        <v>0</v>
      </c>
      <c r="AJ71" s="127">
        <f t="shared" si="36"/>
        <v>0</v>
      </c>
    </row>
    <row r="72" spans="2:36">
      <c r="B72" s="129" t="s">
        <v>286</v>
      </c>
      <c r="C72" s="156">
        <v>0</v>
      </c>
      <c r="D72" s="119">
        <f t="shared" si="10"/>
        <v>0</v>
      </c>
      <c r="E72" s="157">
        <f t="shared" si="23"/>
        <v>0</v>
      </c>
      <c r="F72" s="121">
        <f t="shared" si="11"/>
        <v>0</v>
      </c>
      <c r="G72" s="120">
        <f t="shared" si="12"/>
        <v>0</v>
      </c>
      <c r="H72" s="119"/>
      <c r="I72" s="156">
        <v>0</v>
      </c>
      <c r="J72" s="123">
        <f>+I72/'[2]Data Entry'!$C$11</f>
        <v>0</v>
      </c>
      <c r="K72" s="48">
        <f t="shared" si="13"/>
        <v>0</v>
      </c>
      <c r="L72" s="159">
        <f t="shared" si="37"/>
        <v>0</v>
      </c>
      <c r="M72" s="123">
        <f>+L72/'[2]Data Entry'!$C$11</f>
        <v>0</v>
      </c>
      <c r="N72" s="125">
        <f t="shared" si="14"/>
        <v>0</v>
      </c>
      <c r="O72" s="160">
        <f t="shared" si="38"/>
        <v>0</v>
      </c>
      <c r="P72" s="123">
        <f>+O72/'[2]Data Entry'!$C$11</f>
        <v>0</v>
      </c>
      <c r="Q72" s="125">
        <f t="shared" si="16"/>
        <v>0</v>
      </c>
      <c r="R72" s="160">
        <f t="shared" si="17"/>
        <v>0</v>
      </c>
      <c r="S72" s="123">
        <f>+R72/'[2]Data Entry'!$C$11</f>
        <v>0</v>
      </c>
      <c r="T72" s="125">
        <f t="shared" si="18"/>
        <v>0</v>
      </c>
      <c r="U72" s="160">
        <f t="shared" si="19"/>
        <v>0</v>
      </c>
      <c r="V72" s="123">
        <f>+U72/'[2]Data Entry'!$C$11</f>
        <v>0</v>
      </c>
      <c r="W72" s="125">
        <f t="shared" si="20"/>
        <v>0</v>
      </c>
      <c r="X72" s="160">
        <f t="shared" si="21"/>
        <v>0</v>
      </c>
      <c r="Y72" s="123">
        <f>+X72/'[2]Data Entry'!$C$11</f>
        <v>0</v>
      </c>
      <c r="Z72" s="48">
        <f t="shared" si="22"/>
        <v>0</v>
      </c>
      <c r="AA72" s="46">
        <f t="shared" si="30"/>
        <v>0</v>
      </c>
      <c r="AB72" s="127">
        <f t="shared" si="31"/>
        <v>0</v>
      </c>
      <c r="AC72" s="46">
        <f t="shared" si="32"/>
        <v>0</v>
      </c>
      <c r="AD72" s="127">
        <f t="shared" si="33"/>
        <v>0</v>
      </c>
      <c r="AE72" s="46">
        <f t="shared" si="32"/>
        <v>0</v>
      </c>
      <c r="AF72" s="127">
        <f t="shared" si="34"/>
        <v>0</v>
      </c>
      <c r="AG72" s="46">
        <f t="shared" si="32"/>
        <v>0</v>
      </c>
      <c r="AH72" s="127">
        <f t="shared" si="35"/>
        <v>0</v>
      </c>
      <c r="AI72" s="46">
        <f t="shared" si="32"/>
        <v>0</v>
      </c>
      <c r="AJ72" s="127">
        <f t="shared" si="36"/>
        <v>0</v>
      </c>
    </row>
    <row r="73" spans="2:36">
      <c r="B73" s="129" t="s">
        <v>287</v>
      </c>
      <c r="C73" s="156">
        <v>0</v>
      </c>
      <c r="D73" s="119">
        <f t="shared" si="10"/>
        <v>0</v>
      </c>
      <c r="E73" s="157">
        <f t="shared" si="23"/>
        <v>-3071</v>
      </c>
      <c r="F73" s="121">
        <f t="shared" si="11"/>
        <v>-3.2431634621127962E-3</v>
      </c>
      <c r="G73" s="120">
        <f t="shared" si="12"/>
        <v>3071</v>
      </c>
      <c r="H73" s="119"/>
      <c r="I73" s="156">
        <v>-6142</v>
      </c>
      <c r="J73" s="123">
        <f>+I73/'[2]Data Entry'!$C$11</f>
        <v>-74.902439024390247</v>
      </c>
      <c r="K73" s="48">
        <f t="shared" si="13"/>
        <v>-3.2431634621127962E-3</v>
      </c>
      <c r="L73" s="159">
        <f t="shared" si="37"/>
        <v>-6203.42</v>
      </c>
      <c r="M73" s="123">
        <f>+L73/'[2]Data Entry'!$C$11</f>
        <v>-75.651463414634151</v>
      </c>
      <c r="N73" s="125">
        <f t="shared" si="14"/>
        <v>-2.9376176785223893E-3</v>
      </c>
      <c r="O73" s="160">
        <f t="shared" si="38"/>
        <v>-6265.4542000000001</v>
      </c>
      <c r="P73" s="123">
        <f>+O73/'[2]Data Entry'!$C$11</f>
        <v>-76.407978048780492</v>
      </c>
      <c r="Q73" s="125">
        <f t="shared" si="16"/>
        <v>-2.6890876930910652E-3</v>
      </c>
      <c r="R73" s="160">
        <f t="shared" si="17"/>
        <v>-6328.1087420000003</v>
      </c>
      <c r="S73" s="123">
        <f>+R73/'[2]Data Entry'!$C$11</f>
        <v>-77.172057829268297</v>
      </c>
      <c r="T73" s="125">
        <f t="shared" si="18"/>
        <v>-2.527832211216381E-3</v>
      </c>
      <c r="U73" s="160">
        <f t="shared" si="19"/>
        <v>-6391.3898294200008</v>
      </c>
      <c r="V73" s="123">
        <f>+U73/'[2]Data Entry'!$C$11</f>
        <v>-77.943778407560984</v>
      </c>
      <c r="W73" s="125">
        <f t="shared" si="20"/>
        <v>-2.4828276912571274E-3</v>
      </c>
      <c r="X73" s="160">
        <f t="shared" si="21"/>
        <v>-6455.3037277142012</v>
      </c>
      <c r="Y73" s="123">
        <f>+X73/'[2]Data Entry'!$C$11</f>
        <v>-78.723216191636595</v>
      </c>
      <c r="Z73" s="48">
        <f t="shared" si="22"/>
        <v>-2.4385529600815725E-3</v>
      </c>
      <c r="AA73" s="46">
        <f t="shared" si="30"/>
        <v>-6455.3037277142012</v>
      </c>
      <c r="AB73" s="127">
        <f t="shared" si="31"/>
        <v>-2.4385529600815725E-3</v>
      </c>
      <c r="AC73" s="46">
        <f t="shared" si="32"/>
        <v>-6455.3037277142012</v>
      </c>
      <c r="AD73" s="127">
        <f t="shared" si="33"/>
        <v>-2.4385529600815725E-3</v>
      </c>
      <c r="AE73" s="46">
        <f t="shared" si="32"/>
        <v>-6455.3037277142012</v>
      </c>
      <c r="AF73" s="127">
        <f t="shared" si="34"/>
        <v>-2.4385529600815725E-3</v>
      </c>
      <c r="AG73" s="46">
        <f t="shared" si="32"/>
        <v>-6455.3037277142012</v>
      </c>
      <c r="AH73" s="127">
        <f t="shared" si="35"/>
        <v>-2.4385529600815725E-3</v>
      </c>
      <c r="AI73" s="46">
        <f t="shared" si="32"/>
        <v>-6455.3037277142012</v>
      </c>
      <c r="AJ73" s="127">
        <f t="shared" si="36"/>
        <v>-2.4385529600815725E-3</v>
      </c>
    </row>
    <row r="74" spans="2:36">
      <c r="B74" s="163" t="s">
        <v>288</v>
      </c>
      <c r="C74" s="156">
        <f>'IS (Combined)'!D18</f>
        <v>1331.24</v>
      </c>
      <c r="D74" s="119">
        <f t="shared" si="10"/>
        <v>1.4499955331633053E-3</v>
      </c>
      <c r="E74" s="157">
        <f t="shared" si="23"/>
        <v>725</v>
      </c>
      <c r="F74" s="121">
        <f t="shared" si="11"/>
        <v>7.656442559530372E-4</v>
      </c>
      <c r="G74" s="120">
        <f t="shared" si="12"/>
        <v>606.24</v>
      </c>
      <c r="H74" s="119"/>
      <c r="I74" s="156">
        <v>1450</v>
      </c>
      <c r="J74" s="123">
        <f>+I74/'[2]Data Entry'!$C$11</f>
        <v>17.682926829268293</v>
      </c>
      <c r="K74" s="48">
        <f t="shared" si="13"/>
        <v>7.656442559530372E-4</v>
      </c>
      <c r="L74" s="159">
        <f t="shared" si="37"/>
        <v>1464.5</v>
      </c>
      <c r="M74" s="123">
        <f>+L74/'[2]Data Entry'!$C$11</f>
        <v>17.859756097560975</v>
      </c>
      <c r="N74" s="125">
        <f t="shared" si="14"/>
        <v>6.9351117451277506E-4</v>
      </c>
      <c r="O74" s="160">
        <f t="shared" si="38"/>
        <v>1479.145</v>
      </c>
      <c r="P74" s="123">
        <f>+O74/'[2]Data Entry'!$C$11</f>
        <v>18.038353658536586</v>
      </c>
      <c r="Q74" s="125">
        <f t="shared" si="16"/>
        <v>6.3483835151124132E-4</v>
      </c>
      <c r="R74" s="160">
        <f t="shared" si="17"/>
        <v>1493.9364499999999</v>
      </c>
      <c r="S74" s="123">
        <f>+R74/'[2]Data Entry'!$C$11</f>
        <v>18.21873719512195</v>
      </c>
      <c r="T74" s="125">
        <f t="shared" si="18"/>
        <v>5.9676924556557344E-4</v>
      </c>
      <c r="U74" s="160">
        <f t="shared" si="19"/>
        <v>1508.8758144999999</v>
      </c>
      <c r="V74" s="123">
        <f>+U74/'[2]Data Entry'!$C$11</f>
        <v>18.400924567073169</v>
      </c>
      <c r="W74" s="125">
        <f t="shared" si="20"/>
        <v>5.8614460311345396E-4</v>
      </c>
      <c r="X74" s="160">
        <f t="shared" si="21"/>
        <v>1523.9645726449999</v>
      </c>
      <c r="Y74" s="123">
        <f>+X74/'[2]Data Entry'!$C$11</f>
        <v>18.584933812743902</v>
      </c>
      <c r="Z74" s="48">
        <f t="shared" si="22"/>
        <v>5.7569224879815682E-4</v>
      </c>
      <c r="AA74" s="46">
        <f t="shared" si="30"/>
        <v>1523.9645726449999</v>
      </c>
      <c r="AB74" s="127">
        <f t="shared" si="31"/>
        <v>5.7569224879815682E-4</v>
      </c>
      <c r="AC74" s="46">
        <f t="shared" si="32"/>
        <v>1523.9645726449999</v>
      </c>
      <c r="AD74" s="127">
        <f t="shared" si="33"/>
        <v>5.7569224879815682E-4</v>
      </c>
      <c r="AE74" s="46">
        <f t="shared" si="32"/>
        <v>1523.9645726449999</v>
      </c>
      <c r="AF74" s="127">
        <f t="shared" si="34"/>
        <v>5.7569224879815682E-4</v>
      </c>
      <c r="AG74" s="46">
        <f t="shared" si="32"/>
        <v>1523.9645726449999</v>
      </c>
      <c r="AH74" s="127">
        <f t="shared" si="35"/>
        <v>5.7569224879815682E-4</v>
      </c>
      <c r="AI74" s="46">
        <f t="shared" si="32"/>
        <v>1523.9645726449999</v>
      </c>
      <c r="AJ74" s="127">
        <f t="shared" si="36"/>
        <v>5.7569224879815682E-4</v>
      </c>
    </row>
    <row r="75" spans="2:36">
      <c r="B75" s="163" t="s">
        <v>289</v>
      </c>
      <c r="C75" s="156">
        <v>0</v>
      </c>
      <c r="D75" s="119">
        <f t="shared" si="10"/>
        <v>0</v>
      </c>
      <c r="E75" s="157">
        <f t="shared" si="23"/>
        <v>0</v>
      </c>
      <c r="F75" s="121">
        <f t="shared" si="11"/>
        <v>0</v>
      </c>
      <c r="G75" s="120">
        <f t="shared" si="12"/>
        <v>0</v>
      </c>
      <c r="H75" s="119"/>
      <c r="I75" s="156">
        <v>0</v>
      </c>
      <c r="J75" s="123">
        <f>+I75/'[2]Data Entry'!$C$11</f>
        <v>0</v>
      </c>
      <c r="K75" s="48">
        <f t="shared" si="13"/>
        <v>0</v>
      </c>
      <c r="L75" s="159">
        <f t="shared" si="37"/>
        <v>0</v>
      </c>
      <c r="M75" s="123">
        <f>+L75/'[2]Data Entry'!$C$11</f>
        <v>0</v>
      </c>
      <c r="N75" s="125">
        <f t="shared" si="14"/>
        <v>0</v>
      </c>
      <c r="O75" s="160">
        <f t="shared" si="38"/>
        <v>0</v>
      </c>
      <c r="P75" s="123">
        <f>+O75/'[2]Data Entry'!$C$11</f>
        <v>0</v>
      </c>
      <c r="Q75" s="125">
        <f t="shared" si="16"/>
        <v>0</v>
      </c>
      <c r="R75" s="160">
        <f t="shared" si="17"/>
        <v>0</v>
      </c>
      <c r="S75" s="123">
        <f>+R75/'[2]Data Entry'!$C$11</f>
        <v>0</v>
      </c>
      <c r="T75" s="125">
        <f t="shared" si="18"/>
        <v>0</v>
      </c>
      <c r="U75" s="160">
        <f t="shared" si="19"/>
        <v>0</v>
      </c>
      <c r="V75" s="123">
        <f>+U75/'[2]Data Entry'!$C$11</f>
        <v>0</v>
      </c>
      <c r="W75" s="125">
        <f t="shared" si="20"/>
        <v>0</v>
      </c>
      <c r="X75" s="160">
        <f t="shared" si="21"/>
        <v>0</v>
      </c>
      <c r="Y75" s="123">
        <f>+X75/'[2]Data Entry'!$C$11</f>
        <v>0</v>
      </c>
      <c r="Z75" s="48">
        <f t="shared" si="22"/>
        <v>0</v>
      </c>
      <c r="AB75" s="127"/>
      <c r="AD75" s="127"/>
      <c r="AF75" s="127"/>
      <c r="AH75" s="127"/>
      <c r="AJ75" s="127"/>
    </row>
    <row r="76" spans="2:36">
      <c r="B76" s="163" t="s">
        <v>290</v>
      </c>
      <c r="C76" s="156">
        <v>0</v>
      </c>
      <c r="D76" s="119">
        <f t="shared" si="10"/>
        <v>0</v>
      </c>
      <c r="E76" s="157">
        <f t="shared" si="23"/>
        <v>0</v>
      </c>
      <c r="F76" s="121">
        <f t="shared" si="11"/>
        <v>0</v>
      </c>
      <c r="G76" s="120">
        <f t="shared" si="12"/>
        <v>0</v>
      </c>
      <c r="H76" s="119"/>
      <c r="I76" s="156">
        <v>0</v>
      </c>
      <c r="J76" s="123">
        <f>+I76/'[2]Data Entry'!$C$11</f>
        <v>0</v>
      </c>
      <c r="K76" s="48">
        <f t="shared" si="13"/>
        <v>0</v>
      </c>
      <c r="L76" s="159">
        <f t="shared" si="37"/>
        <v>0</v>
      </c>
      <c r="M76" s="123">
        <f>+L76/'[2]Data Entry'!$C$11</f>
        <v>0</v>
      </c>
      <c r="N76" s="125">
        <f t="shared" si="14"/>
        <v>0</v>
      </c>
      <c r="O76" s="160">
        <f t="shared" si="38"/>
        <v>0</v>
      </c>
      <c r="P76" s="123">
        <f>+O76/'[2]Data Entry'!$C$11</f>
        <v>0</v>
      </c>
      <c r="Q76" s="125">
        <f t="shared" si="16"/>
        <v>0</v>
      </c>
      <c r="R76" s="160">
        <f t="shared" si="17"/>
        <v>0</v>
      </c>
      <c r="S76" s="123">
        <f>+R76/'[2]Data Entry'!$C$11</f>
        <v>0</v>
      </c>
      <c r="T76" s="125">
        <f t="shared" si="18"/>
        <v>0</v>
      </c>
      <c r="U76" s="160">
        <f t="shared" si="19"/>
        <v>0</v>
      </c>
      <c r="V76" s="123">
        <f>+U76/'[2]Data Entry'!$C$11</f>
        <v>0</v>
      </c>
      <c r="W76" s="125">
        <f t="shared" si="20"/>
        <v>0</v>
      </c>
      <c r="X76" s="160">
        <f t="shared" si="21"/>
        <v>0</v>
      </c>
      <c r="Y76" s="123">
        <f>+X76/'[2]Data Entry'!$C$11</f>
        <v>0</v>
      </c>
      <c r="Z76" s="48">
        <f t="shared" si="22"/>
        <v>0</v>
      </c>
      <c r="AB76" s="127"/>
      <c r="AD76" s="127"/>
      <c r="AF76" s="127"/>
      <c r="AH76" s="127"/>
      <c r="AJ76" s="127"/>
    </row>
    <row r="77" spans="2:36">
      <c r="B77" s="163" t="s">
        <v>291</v>
      </c>
      <c r="C77" s="156">
        <v>0</v>
      </c>
      <c r="D77" s="119">
        <f t="shared" si="10"/>
        <v>0</v>
      </c>
      <c r="E77" s="157">
        <f t="shared" si="23"/>
        <v>534.5</v>
      </c>
      <c r="F77" s="121">
        <f t="shared" si="11"/>
        <v>5.6446462731985989E-4</v>
      </c>
      <c r="G77" s="120">
        <f t="shared" si="12"/>
        <v>-534.5</v>
      </c>
      <c r="H77" s="119"/>
      <c r="I77" s="156">
        <v>1069</v>
      </c>
      <c r="J77" s="123">
        <f>+I77/'[2]Data Entry'!$C$11</f>
        <v>13.036585365853659</v>
      </c>
      <c r="K77" s="48">
        <f t="shared" si="13"/>
        <v>5.6446462731985989E-4</v>
      </c>
      <c r="L77" s="159">
        <f t="shared" si="37"/>
        <v>1079.69</v>
      </c>
      <c r="M77" s="123">
        <f>+L77/'[2]Data Entry'!$C$11</f>
        <v>13.166951219512196</v>
      </c>
      <c r="N77" s="125">
        <f t="shared" si="14"/>
        <v>5.1128513486493551E-4</v>
      </c>
      <c r="O77" s="160">
        <f t="shared" si="38"/>
        <v>1090.4869000000001</v>
      </c>
      <c r="P77" s="123">
        <f>+O77/'[2]Data Entry'!$C$11</f>
        <v>13.298620731707318</v>
      </c>
      <c r="Q77" s="125">
        <f t="shared" si="16"/>
        <v>4.6802910190725316E-4</v>
      </c>
      <c r="R77" s="160">
        <f t="shared" si="17"/>
        <v>1101.3917690000001</v>
      </c>
      <c r="S77" s="123">
        <f>+R77/'[2]Data Entry'!$C$11</f>
        <v>13.431606939024391</v>
      </c>
      <c r="T77" s="125">
        <f t="shared" si="18"/>
        <v>4.3996298173075725E-4</v>
      </c>
      <c r="U77" s="160">
        <f t="shared" si="19"/>
        <v>1112.40568669</v>
      </c>
      <c r="V77" s="123">
        <f>+U77/'[2]Data Entry'!$C$11</f>
        <v>13.565923008414634</v>
      </c>
      <c r="W77" s="125">
        <f t="shared" si="20"/>
        <v>4.3213005567467746E-4</v>
      </c>
      <c r="X77" s="160">
        <f t="shared" si="21"/>
        <v>1123.5297435569</v>
      </c>
      <c r="Y77" s="123">
        <f>+X77/'[2]Data Entry'!$C$11</f>
        <v>13.70158223849878</v>
      </c>
      <c r="Z77" s="48">
        <f t="shared" si="22"/>
        <v>4.2442414756222737E-4</v>
      </c>
      <c r="AB77" s="127"/>
      <c r="AD77" s="127"/>
      <c r="AF77" s="127"/>
      <c r="AH77" s="127"/>
      <c r="AJ77" s="127"/>
    </row>
    <row r="78" spans="2:36">
      <c r="B78" s="163" t="s">
        <v>372</v>
      </c>
      <c r="C78" s="156">
        <f>'IS (Combined)'!D34</f>
        <v>519.75</v>
      </c>
      <c r="D78" s="119">
        <f t="shared" si="10"/>
        <v>5.6611518461106034E-4</v>
      </c>
      <c r="E78" s="157">
        <f t="shared" si="23"/>
        <v>0</v>
      </c>
      <c r="F78" s="121">
        <f t="shared" si="11"/>
        <v>0</v>
      </c>
      <c r="G78" s="120">
        <f t="shared" si="12"/>
        <v>519.75</v>
      </c>
      <c r="H78" s="119"/>
      <c r="I78" s="156">
        <v>0</v>
      </c>
      <c r="J78" s="123">
        <f>+I78/'[2]Data Entry'!$C$11</f>
        <v>0</v>
      </c>
      <c r="K78" s="48">
        <f t="shared" si="13"/>
        <v>0</v>
      </c>
      <c r="L78" s="159">
        <f t="shared" si="37"/>
        <v>0</v>
      </c>
      <c r="M78" s="123">
        <f>+L78/'[2]Data Entry'!$C$11</f>
        <v>0</v>
      </c>
      <c r="N78" s="125">
        <f t="shared" si="14"/>
        <v>0</v>
      </c>
      <c r="O78" s="160">
        <f t="shared" si="38"/>
        <v>0</v>
      </c>
      <c r="P78" s="123">
        <f>+O78/'[2]Data Entry'!$C$11</f>
        <v>0</v>
      </c>
      <c r="Q78" s="125">
        <f t="shared" si="16"/>
        <v>0</v>
      </c>
      <c r="R78" s="160">
        <f t="shared" si="17"/>
        <v>0</v>
      </c>
      <c r="S78" s="123">
        <f>+R78/'[2]Data Entry'!$C$11</f>
        <v>0</v>
      </c>
      <c r="T78" s="125">
        <f t="shared" si="18"/>
        <v>0</v>
      </c>
      <c r="U78" s="160">
        <f t="shared" si="19"/>
        <v>0</v>
      </c>
      <c r="V78" s="123">
        <f>+U78/'[2]Data Entry'!$C$11</f>
        <v>0</v>
      </c>
      <c r="W78" s="125">
        <f t="shared" si="20"/>
        <v>0</v>
      </c>
      <c r="X78" s="160">
        <f t="shared" si="21"/>
        <v>0</v>
      </c>
      <c r="Y78" s="123">
        <f>+X78/'[2]Data Entry'!$C$11</f>
        <v>0</v>
      </c>
      <c r="Z78" s="48">
        <f t="shared" si="22"/>
        <v>0</v>
      </c>
      <c r="AB78" s="127"/>
      <c r="AD78" s="127"/>
      <c r="AF78" s="127"/>
      <c r="AH78" s="127"/>
      <c r="AJ78" s="127"/>
    </row>
    <row r="79" spans="2:36">
      <c r="B79" s="163" t="s">
        <v>248</v>
      </c>
      <c r="C79" s="156">
        <f>'IS (Combined)'!D23</f>
        <v>300.32</v>
      </c>
      <c r="D79" s="119">
        <f t="shared" si="10"/>
        <v>3.2711055746492278E-4</v>
      </c>
      <c r="E79" s="157">
        <f t="shared" si="23"/>
        <v>0</v>
      </c>
      <c r="F79" s="121">
        <f t="shared" si="11"/>
        <v>0</v>
      </c>
      <c r="G79" s="120">
        <f t="shared" si="12"/>
        <v>300.32</v>
      </c>
      <c r="H79" s="119"/>
      <c r="I79" s="156">
        <v>0</v>
      </c>
      <c r="J79" s="123">
        <f>+I79/'[2]Data Entry'!$C$11</f>
        <v>0</v>
      </c>
      <c r="K79" s="48">
        <f t="shared" si="13"/>
        <v>0</v>
      </c>
      <c r="L79" s="159">
        <f t="shared" si="37"/>
        <v>0</v>
      </c>
      <c r="M79" s="123">
        <f>+L79/'[2]Data Entry'!$C$11</f>
        <v>0</v>
      </c>
      <c r="N79" s="125">
        <f>+L79/$L$85</f>
        <v>0</v>
      </c>
      <c r="O79" s="160">
        <f t="shared" si="38"/>
        <v>0</v>
      </c>
      <c r="P79" s="123">
        <f>+O79/'[2]Data Entry'!$C$11</f>
        <v>0</v>
      </c>
      <c r="Q79" s="125">
        <f t="shared" si="16"/>
        <v>0</v>
      </c>
      <c r="R79" s="160">
        <f t="shared" si="17"/>
        <v>0</v>
      </c>
      <c r="S79" s="123">
        <f>+R79/'[2]Data Entry'!$C$11</f>
        <v>0</v>
      </c>
      <c r="T79" s="125">
        <f t="shared" si="18"/>
        <v>0</v>
      </c>
      <c r="U79" s="160">
        <f t="shared" si="19"/>
        <v>0</v>
      </c>
      <c r="V79" s="123">
        <f>+U79/'[2]Data Entry'!$C$11</f>
        <v>0</v>
      </c>
      <c r="W79" s="125">
        <f t="shared" si="20"/>
        <v>0</v>
      </c>
      <c r="X79" s="160">
        <f t="shared" si="21"/>
        <v>0</v>
      </c>
      <c r="Y79" s="123">
        <f>+X79/'[2]Data Entry'!$C$11</f>
        <v>0</v>
      </c>
      <c r="Z79" s="48">
        <f t="shared" si="22"/>
        <v>0</v>
      </c>
      <c r="AB79" s="127"/>
      <c r="AD79" s="127"/>
      <c r="AF79" s="127"/>
      <c r="AH79" s="127"/>
      <c r="AJ79" s="127"/>
    </row>
    <row r="80" spans="2:36">
      <c r="B80" s="163" t="s">
        <v>248</v>
      </c>
      <c r="C80" s="156">
        <v>0</v>
      </c>
      <c r="D80" s="119">
        <f t="shared" si="10"/>
        <v>0</v>
      </c>
      <c r="E80" s="157">
        <f t="shared" si="23"/>
        <v>0</v>
      </c>
      <c r="F80" s="121">
        <f t="shared" si="11"/>
        <v>0</v>
      </c>
      <c r="G80" s="120">
        <f t="shared" si="12"/>
        <v>0</v>
      </c>
      <c r="H80" s="119"/>
      <c r="I80" s="156">
        <v>0</v>
      </c>
      <c r="J80" s="123">
        <f>+I80/'[2]Data Entry'!$C$11</f>
        <v>0</v>
      </c>
      <c r="K80" s="48">
        <f t="shared" si="13"/>
        <v>0</v>
      </c>
      <c r="L80" s="159">
        <f t="shared" si="37"/>
        <v>0</v>
      </c>
      <c r="M80" s="123">
        <f>+L80/'[2]Data Entry'!$C$11</f>
        <v>0</v>
      </c>
      <c r="N80" s="125">
        <f>+L80/$L$85</f>
        <v>0</v>
      </c>
      <c r="O80" s="160">
        <f t="shared" si="38"/>
        <v>0</v>
      </c>
      <c r="P80" s="123">
        <f>+O80/'[2]Data Entry'!$C$11</f>
        <v>0</v>
      </c>
      <c r="Q80" s="125">
        <f t="shared" si="16"/>
        <v>0</v>
      </c>
      <c r="R80" s="160">
        <f t="shared" si="17"/>
        <v>0</v>
      </c>
      <c r="S80" s="123">
        <f>+R80/'[2]Data Entry'!$C$11</f>
        <v>0</v>
      </c>
      <c r="T80" s="125">
        <f t="shared" si="18"/>
        <v>0</v>
      </c>
      <c r="U80" s="160">
        <f t="shared" si="19"/>
        <v>0</v>
      </c>
      <c r="V80" s="123">
        <f>+U80/'[2]Data Entry'!$C$11</f>
        <v>0</v>
      </c>
      <c r="W80" s="125">
        <f t="shared" si="20"/>
        <v>0</v>
      </c>
      <c r="X80" s="160">
        <f t="shared" si="21"/>
        <v>0</v>
      </c>
      <c r="Y80" s="123">
        <f>+X80/'[2]Data Entry'!$C$11</f>
        <v>0</v>
      </c>
      <c r="Z80" s="48">
        <f t="shared" si="22"/>
        <v>0</v>
      </c>
      <c r="AB80" s="127"/>
      <c r="AD80" s="127"/>
      <c r="AF80" s="127"/>
      <c r="AH80" s="127"/>
      <c r="AJ80" s="127"/>
    </row>
    <row r="81" spans="2:36">
      <c r="B81" s="163" t="s">
        <v>248</v>
      </c>
      <c r="C81" s="156">
        <v>0</v>
      </c>
      <c r="D81" s="119">
        <f t="shared" si="10"/>
        <v>0</v>
      </c>
      <c r="E81" s="157">
        <f t="shared" si="23"/>
        <v>0</v>
      </c>
      <c r="F81" s="121">
        <f t="shared" si="11"/>
        <v>0</v>
      </c>
      <c r="G81" s="120">
        <f t="shared" si="12"/>
        <v>0</v>
      </c>
      <c r="H81" s="119"/>
      <c r="I81" s="156">
        <v>0</v>
      </c>
      <c r="J81" s="123">
        <f>+I81/'[2]Data Entry'!$C$11</f>
        <v>0</v>
      </c>
      <c r="K81" s="48">
        <f t="shared" si="13"/>
        <v>0</v>
      </c>
      <c r="L81" s="159">
        <f t="shared" si="37"/>
        <v>0</v>
      </c>
      <c r="M81" s="123">
        <f>+L81/'[2]Data Entry'!$C$11</f>
        <v>0</v>
      </c>
      <c r="N81" s="125">
        <f>+L81/$L$85</f>
        <v>0</v>
      </c>
      <c r="O81" s="160">
        <f t="shared" si="38"/>
        <v>0</v>
      </c>
      <c r="P81" s="123">
        <f>+O81/'[2]Data Entry'!$C$11</f>
        <v>0</v>
      </c>
      <c r="Q81" s="125">
        <f t="shared" si="16"/>
        <v>0</v>
      </c>
      <c r="R81" s="160">
        <f t="shared" si="17"/>
        <v>0</v>
      </c>
      <c r="S81" s="123">
        <f>+R81/'[2]Data Entry'!$C$11</f>
        <v>0</v>
      </c>
      <c r="T81" s="125">
        <f t="shared" si="18"/>
        <v>0</v>
      </c>
      <c r="U81" s="160">
        <f t="shared" si="19"/>
        <v>0</v>
      </c>
      <c r="V81" s="123">
        <f>+U81/'[2]Data Entry'!$C$11</f>
        <v>0</v>
      </c>
      <c r="W81" s="125">
        <f t="shared" si="20"/>
        <v>0</v>
      </c>
      <c r="X81" s="160">
        <f t="shared" si="21"/>
        <v>0</v>
      </c>
      <c r="Y81" s="123">
        <f>+X81/'[2]Data Entry'!$C$11</f>
        <v>0</v>
      </c>
      <c r="Z81" s="48">
        <f t="shared" si="22"/>
        <v>0</v>
      </c>
      <c r="AB81" s="127"/>
      <c r="AD81" s="127"/>
      <c r="AF81" s="127"/>
      <c r="AH81" s="127"/>
      <c r="AJ81" s="127"/>
    </row>
    <row r="82" spans="2:36">
      <c r="B82" s="163" t="s">
        <v>248</v>
      </c>
      <c r="C82" s="156">
        <v>0</v>
      </c>
      <c r="D82" s="119">
        <f t="shared" si="10"/>
        <v>0</v>
      </c>
      <c r="E82" s="157">
        <f t="shared" si="23"/>
        <v>0</v>
      </c>
      <c r="F82" s="121">
        <f t="shared" si="11"/>
        <v>0</v>
      </c>
      <c r="G82" s="120">
        <f t="shared" si="12"/>
        <v>0</v>
      </c>
      <c r="H82" s="119"/>
      <c r="I82" s="156">
        <v>0</v>
      </c>
      <c r="J82" s="123">
        <f>+I82/'[2]Data Entry'!$C$11</f>
        <v>0</v>
      </c>
      <c r="K82" s="48">
        <f t="shared" si="13"/>
        <v>0</v>
      </c>
      <c r="L82" s="159">
        <f t="shared" si="37"/>
        <v>0</v>
      </c>
      <c r="M82" s="123">
        <f>+L82/'[2]Data Entry'!$C$11</f>
        <v>0</v>
      </c>
      <c r="N82" s="125">
        <f t="shared" si="14"/>
        <v>0</v>
      </c>
      <c r="O82" s="160">
        <f t="shared" si="38"/>
        <v>0</v>
      </c>
      <c r="P82" s="123">
        <f>+O82/'[2]Data Entry'!$C$11</f>
        <v>0</v>
      </c>
      <c r="Q82" s="125">
        <f t="shared" si="16"/>
        <v>0</v>
      </c>
      <c r="R82" s="160">
        <f t="shared" si="17"/>
        <v>0</v>
      </c>
      <c r="S82" s="123">
        <f>+R82/'[2]Data Entry'!$C$11</f>
        <v>0</v>
      </c>
      <c r="T82" s="125">
        <f t="shared" si="18"/>
        <v>0</v>
      </c>
      <c r="U82" s="160">
        <f t="shared" si="19"/>
        <v>0</v>
      </c>
      <c r="V82" s="123">
        <f>+U82/'[2]Data Entry'!$C$11</f>
        <v>0</v>
      </c>
      <c r="W82" s="125">
        <f t="shared" si="20"/>
        <v>0</v>
      </c>
      <c r="X82" s="160">
        <f t="shared" si="21"/>
        <v>0</v>
      </c>
      <c r="Y82" s="123">
        <f>+X82/'[2]Data Entry'!$C$11</f>
        <v>0</v>
      </c>
      <c r="Z82" s="48">
        <f t="shared" si="22"/>
        <v>0</v>
      </c>
      <c r="AB82" s="127"/>
      <c r="AD82" s="127"/>
      <c r="AF82" s="127"/>
      <c r="AH82" s="127"/>
      <c r="AJ82" s="127"/>
    </row>
    <row r="83" spans="2:36">
      <c r="B83" s="117" t="s">
        <v>292</v>
      </c>
      <c r="C83" s="136">
        <f>SUM(C37:C82)</f>
        <v>87785.74</v>
      </c>
      <c r="D83" s="137">
        <f t="shared" si="10"/>
        <v>9.5616816558573431E-2</v>
      </c>
      <c r="E83" s="138">
        <f>SUM(E37:E82)</f>
        <v>52653</v>
      </c>
      <c r="F83" s="139">
        <f t="shared" si="11"/>
        <v>5.5604782080958995E-2</v>
      </c>
      <c r="G83" s="138">
        <f>SUM(G37:G82)</f>
        <v>35132.739999999991</v>
      </c>
      <c r="H83" s="137"/>
      <c r="I83" s="149">
        <f>SUM(I37:I82)</f>
        <v>105306</v>
      </c>
      <c r="J83" s="140">
        <f>+I83/'[2]Data Entry'!$C$11</f>
        <v>1284.219512195122</v>
      </c>
      <c r="K83" s="141">
        <f>+I83/$I$85</f>
        <v>5.5604782080958995E-2</v>
      </c>
      <c r="L83" s="136">
        <f>SUM(L37:L82)</f>
        <v>157834.34</v>
      </c>
      <c r="M83" s="140">
        <f>+L83/'[2]Data Entry'!$C$11</f>
        <v>1924.8090243902438</v>
      </c>
      <c r="N83" s="142">
        <f>+L83/$L$85</f>
        <v>7.4742149888595885E-2</v>
      </c>
      <c r="O83" s="138">
        <f>SUM(O37:O82)</f>
        <v>209740.65339999998</v>
      </c>
      <c r="P83" s="140">
        <f>+O83/'[2]Data Entry'!$C$11</f>
        <v>2557.8128463414632</v>
      </c>
      <c r="Q83" s="142">
        <f>+O83/$O$85</f>
        <v>9.0019173677595252E-2</v>
      </c>
      <c r="R83" s="138">
        <f>SUM(R37:R82)</f>
        <v>211838.05993400002</v>
      </c>
      <c r="S83" s="143">
        <f>+R83/'[2]Data Entry'!$C$11</f>
        <v>2583.3909748048782</v>
      </c>
      <c r="T83" s="142">
        <f>+R83/$R$85</f>
        <v>8.4621028698301001E-2</v>
      </c>
      <c r="U83" s="138">
        <f>SUM(U37:U82)</f>
        <v>213956.44053334004</v>
      </c>
      <c r="V83" s="143">
        <f>U83/'[2]Data Entry'!$C$11</f>
        <v>2609.2248845529271</v>
      </c>
      <c r="W83" s="142">
        <f>+U83/$U$85</f>
        <v>8.3114469537401356E-2</v>
      </c>
      <c r="X83" s="138">
        <f>SUM(X37:X82)</f>
        <v>216096.0049386734</v>
      </c>
      <c r="Y83" s="143">
        <f>X83/'[2]Data Entry'!$C$11</f>
        <v>2635.317133398456</v>
      </c>
      <c r="Z83" s="141">
        <f>+X83/$X$85</f>
        <v>8.1632340588813662E-2</v>
      </c>
      <c r="AA83" s="46">
        <f t="shared" si="30"/>
        <v>216096.0049386734</v>
      </c>
      <c r="AB83" s="127">
        <f>AA83/$X$85</f>
        <v>8.1632340588813662E-2</v>
      </c>
      <c r="AC83" s="46">
        <f t="shared" si="32"/>
        <v>216096.0049386734</v>
      </c>
      <c r="AD83" s="127">
        <f>AC83/$X$85</f>
        <v>8.1632340588813662E-2</v>
      </c>
      <c r="AE83" s="46">
        <f t="shared" si="32"/>
        <v>216096.0049386734</v>
      </c>
      <c r="AF83" s="127">
        <f>AE83/$X$85</f>
        <v>8.1632340588813662E-2</v>
      </c>
      <c r="AG83" s="46">
        <f t="shared" si="32"/>
        <v>216096.0049386734</v>
      </c>
      <c r="AH83" s="127">
        <f>AG83/$X$85</f>
        <v>8.1632340588813662E-2</v>
      </c>
      <c r="AI83" s="46">
        <f t="shared" si="32"/>
        <v>216096.0049386734</v>
      </c>
      <c r="AJ83" s="127">
        <f>AI83/$X$85</f>
        <v>8.1632340588813662E-2</v>
      </c>
    </row>
    <row r="84" spans="2:36">
      <c r="B84" s="117"/>
      <c r="C84" s="151"/>
      <c r="D84" s="119"/>
      <c r="E84" s="152"/>
      <c r="F84" s="121"/>
      <c r="G84" s="119"/>
      <c r="H84" s="119"/>
      <c r="I84" s="151"/>
      <c r="J84" s="153"/>
      <c r="K84" s="48"/>
      <c r="L84" s="151"/>
      <c r="M84" s="153"/>
      <c r="N84" s="164"/>
      <c r="O84" s="152"/>
      <c r="P84" s="153"/>
      <c r="Q84" s="164"/>
      <c r="R84" s="152"/>
      <c r="S84" s="154"/>
      <c r="T84" s="164"/>
      <c r="U84" s="165"/>
      <c r="V84" s="153"/>
      <c r="W84" s="164"/>
      <c r="X84" s="152"/>
      <c r="Y84" s="154"/>
      <c r="Z84" s="48"/>
      <c r="AB84" s="127"/>
      <c r="AD84" s="127"/>
      <c r="AF84" s="127"/>
      <c r="AH84" s="127"/>
      <c r="AJ84" s="127"/>
    </row>
    <row r="85" spans="2:36" ht="10.5" thickBot="1">
      <c r="B85" s="166" t="s">
        <v>293</v>
      </c>
      <c r="C85" s="167">
        <f>+C34+C83</f>
        <v>918099.38</v>
      </c>
      <c r="D85" s="168">
        <f>+C85/C85</f>
        <v>1</v>
      </c>
      <c r="E85" s="169">
        <f>+E34+E83</f>
        <v>946914.96</v>
      </c>
      <c r="F85" s="170">
        <f>+E85/$E$85</f>
        <v>1</v>
      </c>
      <c r="G85" s="169">
        <f>+G34+G83</f>
        <v>-28815.579999999951</v>
      </c>
      <c r="H85" s="168"/>
      <c r="I85" s="171">
        <f>+I34+I83</f>
        <v>1893829.92</v>
      </c>
      <c r="J85" s="172">
        <f>+I85/'[2]Data Entry'!$C$11</f>
        <v>23095.486829268291</v>
      </c>
      <c r="K85" s="173">
        <f>+I85/$I$85</f>
        <v>1</v>
      </c>
      <c r="L85" s="167">
        <f>+L34+L83</f>
        <v>2111717.9561365852</v>
      </c>
      <c r="M85" s="172">
        <f>+L85/'[2]Data Entry'!$C$11</f>
        <v>25752.658001665674</v>
      </c>
      <c r="N85" s="174">
        <f>+L85/$L$85</f>
        <v>1</v>
      </c>
      <c r="O85" s="169">
        <f>+O34+O83</f>
        <v>2329955.3287523906</v>
      </c>
      <c r="P85" s="172">
        <f>+O85/'[2]Data Entry'!$C$11</f>
        <v>28414.089375029154</v>
      </c>
      <c r="Q85" s="174">
        <f>+O85/$O$85</f>
        <v>1</v>
      </c>
      <c r="R85" s="169">
        <f>+R34+R83</f>
        <v>2503373.7262786697</v>
      </c>
      <c r="S85" s="172">
        <f>+R85/'[2]Data Entry'!$C$11</f>
        <v>30528.947881447191</v>
      </c>
      <c r="T85" s="174">
        <f>+R85/$R$85</f>
        <v>1</v>
      </c>
      <c r="U85" s="169">
        <f>+U34+U83</f>
        <v>2574238.1768683493</v>
      </c>
      <c r="V85" s="172">
        <f>+U85/'[2]Data Entry'!$C$11</f>
        <v>31393.148498394505</v>
      </c>
      <c r="W85" s="174">
        <f>+U85/$U$85</f>
        <v>1</v>
      </c>
      <c r="X85" s="169">
        <f>+X34+X83</f>
        <v>2647186.1933637331</v>
      </c>
      <c r="Y85" s="172">
        <f>+X85/'[2]Data Entry'!$C$11</f>
        <v>32282.758455655283</v>
      </c>
      <c r="Z85" s="173">
        <f>+X85/$X$85</f>
        <v>1</v>
      </c>
      <c r="AA85" s="126">
        <f>SUM(AA56:AA83)</f>
        <v>2798632.5431903745</v>
      </c>
      <c r="AB85" s="127">
        <f>AA85/$X$85</f>
        <v>1.0572103126732468</v>
      </c>
      <c r="AC85" s="126">
        <f>SUM(AC56:AC83)</f>
        <v>2846706.833708656</v>
      </c>
      <c r="AD85" s="127">
        <f>AC85/$X$85</f>
        <v>1.0753708374745623</v>
      </c>
      <c r="AE85" s="126">
        <f>SUM(AE56:AE83)</f>
        <v>2895742.4067561948</v>
      </c>
      <c r="AF85" s="127">
        <f>AE85/$X$85</f>
        <v>1.0938944959805135</v>
      </c>
      <c r="AG85" s="126">
        <f>SUM(AG56:AG83)</f>
        <v>2945758.4859507638</v>
      </c>
      <c r="AH85" s="127">
        <f>AG85/$X$85</f>
        <v>1.112788550097279</v>
      </c>
      <c r="AI85" s="126">
        <f>SUM(AI56:AI83)</f>
        <v>2996774.6793621639</v>
      </c>
      <c r="AJ85" s="127">
        <f>AI85/$X$85</f>
        <v>1.1320604069614819</v>
      </c>
    </row>
    <row r="86" spans="2:36" ht="10.5" thickTop="1">
      <c r="B86" s="76"/>
      <c r="C86" s="124"/>
      <c r="D86" s="119"/>
      <c r="E86" s="46"/>
      <c r="F86" s="121"/>
      <c r="G86" s="119"/>
      <c r="H86" s="119"/>
      <c r="I86" s="124"/>
      <c r="J86" s="47"/>
      <c r="K86" s="48"/>
      <c r="L86" s="124"/>
      <c r="M86" s="47"/>
      <c r="N86" s="125"/>
      <c r="O86" s="46"/>
      <c r="P86" s="47"/>
      <c r="Q86" s="125"/>
      <c r="R86" s="46"/>
      <c r="S86" s="155"/>
      <c r="T86" s="125"/>
      <c r="V86" s="155"/>
      <c r="W86" s="125"/>
      <c r="Y86" s="155"/>
      <c r="Z86" s="48"/>
      <c r="AB86" s="127"/>
      <c r="AD86" s="127"/>
      <c r="AF86" s="127"/>
      <c r="AH86" s="127"/>
      <c r="AJ86" s="127"/>
    </row>
    <row r="87" spans="2:36" s="116" customFormat="1" ht="18" customHeight="1">
      <c r="B87" s="442" t="s">
        <v>294</v>
      </c>
      <c r="C87" s="428"/>
      <c r="D87" s="428"/>
      <c r="E87" s="428"/>
      <c r="F87" s="428"/>
      <c r="G87" s="428"/>
      <c r="H87" s="428"/>
      <c r="I87" s="428"/>
      <c r="J87" s="428"/>
      <c r="K87" s="428"/>
      <c r="L87" s="428"/>
      <c r="M87" s="428"/>
      <c r="N87" s="428"/>
      <c r="O87" s="428"/>
      <c r="P87" s="428"/>
      <c r="Q87" s="428"/>
      <c r="R87" s="428"/>
      <c r="S87" s="428"/>
      <c r="T87" s="428"/>
      <c r="U87" s="428"/>
      <c r="V87" s="428"/>
      <c r="W87" s="428"/>
      <c r="X87" s="428"/>
      <c r="Y87" s="428"/>
      <c r="Z87" s="429"/>
      <c r="AA87" s="177"/>
      <c r="AB87" s="178"/>
      <c r="AC87" s="177"/>
      <c r="AD87" s="178"/>
      <c r="AE87" s="177"/>
      <c r="AF87" s="178"/>
      <c r="AG87" s="177"/>
      <c r="AH87" s="178"/>
      <c r="AI87" s="177"/>
      <c r="AJ87" s="178"/>
    </row>
    <row r="88" spans="2:36">
      <c r="B88" s="117" t="s">
        <v>295</v>
      </c>
      <c r="C88" s="118">
        <f>'IS (Combined)'!D78</f>
        <v>6526.11</v>
      </c>
      <c r="D88" s="119">
        <f>+C88/$C$85</f>
        <v>7.1082827656413399E-3</v>
      </c>
      <c r="E88" s="120">
        <f>I88/2</f>
        <v>2050</v>
      </c>
      <c r="F88" s="121">
        <f>+E88/E$85</f>
        <v>2.1649251375223813E-3</v>
      </c>
      <c r="G88" s="120">
        <f t="shared" ref="G88:G129" si="39">C88-E88</f>
        <v>4476.1099999999997</v>
      </c>
      <c r="H88" s="119"/>
      <c r="I88" s="179">
        <v>4100</v>
      </c>
      <c r="J88" s="123">
        <f>+I88/'[2]Data Entry'!$C$11</f>
        <v>50</v>
      </c>
      <c r="K88" s="48">
        <f>+I88/I$85</f>
        <v>2.1649251375223813E-3</v>
      </c>
      <c r="L88" s="159">
        <f>(1+$L$9)*+I88</f>
        <v>4223</v>
      </c>
      <c r="M88" s="123">
        <f>+L88/'[2]Data Entry'!$C$11</f>
        <v>51.5</v>
      </c>
      <c r="N88" s="125">
        <f>+L88/$L$85</f>
        <v>1.9997935745766126E-3</v>
      </c>
      <c r="O88" s="160">
        <f>(1+$L$9)*+L88</f>
        <v>4349.6900000000005</v>
      </c>
      <c r="P88" s="123">
        <f>+O88/'[2]Data Entry'!$C$11</f>
        <v>53.045000000000009</v>
      </c>
      <c r="Q88" s="125">
        <f>+O88/$O$85</f>
        <v>1.8668555342342581E-3</v>
      </c>
      <c r="R88" s="160">
        <f>(1+$L$9)*+O88</f>
        <v>4480.1807000000008</v>
      </c>
      <c r="S88" s="123">
        <f>+R88/'[2]Data Entry'!$C$11</f>
        <v>54.636350000000007</v>
      </c>
      <c r="T88" s="125">
        <f>+R88/$R$85</f>
        <v>1.7896571546510182E-3</v>
      </c>
      <c r="U88" s="160">
        <f>(1+$L$9)*+R88</f>
        <v>4614.5861210000012</v>
      </c>
      <c r="V88" s="123">
        <f>+U88/'[2]Data Entry'!$C$11</f>
        <v>56.275440500000016</v>
      </c>
      <c r="W88" s="125">
        <f>+U88/$U$85</f>
        <v>1.7926026280185956E-3</v>
      </c>
      <c r="X88" s="160">
        <f>(1+$L$9)*+U88</f>
        <v>4753.0237046300017</v>
      </c>
      <c r="Y88" s="123">
        <f>+X88/'[2]Data Entry'!$C$11</f>
        <v>57.963703715000022</v>
      </c>
      <c r="Z88" s="48">
        <f t="shared" ref="Z88:Z97" si="40">+X88/$X$85</f>
        <v>1.7955003378853445E-3</v>
      </c>
      <c r="AB88" s="127"/>
      <c r="AD88" s="127"/>
      <c r="AF88" s="127"/>
      <c r="AH88" s="127"/>
      <c r="AJ88" s="127"/>
    </row>
    <row r="89" spans="2:36">
      <c r="B89" s="180" t="s">
        <v>296</v>
      </c>
      <c r="C89" s="181"/>
      <c r="D89" s="182"/>
      <c r="E89" s="120">
        <f t="shared" ref="E89:E129" si="41">I89/2</f>
        <v>0</v>
      </c>
      <c r="F89" s="184"/>
      <c r="G89" s="120">
        <f t="shared" si="39"/>
        <v>0</v>
      </c>
      <c r="H89" s="182"/>
      <c r="I89" s="181"/>
      <c r="J89" s="185"/>
      <c r="K89" s="186"/>
      <c r="L89" s="181"/>
      <c r="M89" s="185"/>
      <c r="N89" s="187"/>
      <c r="O89" s="183"/>
      <c r="P89" s="185"/>
      <c r="Q89" s="187"/>
      <c r="R89" s="183"/>
      <c r="S89" s="185"/>
      <c r="T89" s="187"/>
      <c r="U89" s="183"/>
      <c r="V89" s="185"/>
      <c r="W89" s="187"/>
      <c r="X89" s="183"/>
      <c r="Y89" s="185"/>
      <c r="Z89" s="186"/>
      <c r="AB89" s="127"/>
      <c r="AD89" s="127"/>
      <c r="AF89" s="127"/>
      <c r="AH89" s="127"/>
      <c r="AJ89" s="127"/>
    </row>
    <row r="90" spans="2:36">
      <c r="B90" s="129" t="s">
        <v>297</v>
      </c>
      <c r="C90" s="118">
        <f>'IS (Combined)'!D42</f>
        <v>9479.81</v>
      </c>
      <c r="D90" s="119">
        <f t="shared" ref="D90:D133" si="42">+C90/$C$85</f>
        <v>1.0325472608422847E-2</v>
      </c>
      <c r="E90" s="120">
        <f t="shared" si="41"/>
        <v>2400</v>
      </c>
      <c r="F90" s="121">
        <f t="shared" ref="F90:F97" si="43">+E90/E$85</f>
        <v>2.5345465024652269E-3</v>
      </c>
      <c r="G90" s="120">
        <f t="shared" si="39"/>
        <v>7079.8099999999995</v>
      </c>
      <c r="H90" s="119"/>
      <c r="I90" s="118">
        <v>4800</v>
      </c>
      <c r="J90" s="123">
        <f>+I90/'[2]Data Entry'!$C$11</f>
        <v>58.536585365853661</v>
      </c>
      <c r="K90" s="48">
        <f t="shared" ref="K90:K133" si="44">+I90/I$85</f>
        <v>2.5345465024652269E-3</v>
      </c>
      <c r="L90" s="159">
        <f t="shared" ref="L90:L97" si="45">(1+$L$9)*+I90</f>
        <v>4944</v>
      </c>
      <c r="M90" s="123">
        <f>+L90/'[2]Data Entry'!$C$11</f>
        <v>60.292682926829265</v>
      </c>
      <c r="N90" s="125">
        <f t="shared" ref="N90:N97" si="46">+L90/$L$85</f>
        <v>2.3412217458457902E-3</v>
      </c>
      <c r="O90" s="160">
        <f t="shared" ref="O90:O97" si="47">(1+$L$9)*+L90</f>
        <v>5092.32</v>
      </c>
      <c r="P90" s="123">
        <f>+O90/'[2]Data Entry'!$C$11</f>
        <v>62.101463414634139</v>
      </c>
      <c r="Q90" s="125">
        <f t="shared" ref="Q90:Q97" si="48">+O90/$O$85</f>
        <v>2.1855869669083995E-3</v>
      </c>
      <c r="R90" s="160">
        <f t="shared" ref="R90:R97" si="49">(1+$L$9)*+O90</f>
        <v>5245.0896000000002</v>
      </c>
      <c r="S90" s="123">
        <f>+R90/'[2]Data Entry'!$C$11</f>
        <v>63.964507317073171</v>
      </c>
      <c r="T90" s="125">
        <f t="shared" ref="T90:T97" si="50">+R90/$R$85</f>
        <v>2.0952083761768014E-3</v>
      </c>
      <c r="U90" s="160">
        <f t="shared" ref="U90:U97" si="51">(1+$L$9)*+R90</f>
        <v>5402.4422880000002</v>
      </c>
      <c r="V90" s="123">
        <f>+U90/'[2]Data Entry'!$C$11</f>
        <v>65.883442536585363</v>
      </c>
      <c r="W90" s="125">
        <f t="shared" ref="W90:W97" si="52">+U90/$U$85</f>
        <v>2.0986567352412823E-3</v>
      </c>
      <c r="X90" s="160">
        <f t="shared" ref="X90:X97" si="53">(1+$L$9)*+U90</f>
        <v>5564.5155566399999</v>
      </c>
      <c r="Y90" s="123">
        <f>+X90/'[2]Data Entry'!$C$11</f>
        <v>67.859945812682923</v>
      </c>
      <c r="Z90" s="48">
        <f t="shared" si="40"/>
        <v>2.1020491760608902E-3</v>
      </c>
      <c r="AB90" s="127"/>
      <c r="AD90" s="127"/>
      <c r="AF90" s="127"/>
      <c r="AH90" s="127"/>
      <c r="AJ90" s="127"/>
    </row>
    <row r="91" spans="2:36">
      <c r="B91" s="129" t="s">
        <v>298</v>
      </c>
      <c r="C91" s="118">
        <f>'IS (Combined)'!D48</f>
        <v>2743</v>
      </c>
      <c r="D91" s="119">
        <f t="shared" si="42"/>
        <v>2.9876939901647684E-3</v>
      </c>
      <c r="E91" s="120">
        <f t="shared" si="41"/>
        <v>4890</v>
      </c>
      <c r="F91" s="121">
        <f t="shared" si="43"/>
        <v>5.1641384987728993E-3</v>
      </c>
      <c r="G91" s="120">
        <f t="shared" si="39"/>
        <v>-2147</v>
      </c>
      <c r="H91" s="119"/>
      <c r="I91" s="118">
        <v>9780</v>
      </c>
      <c r="J91" s="123">
        <f>+I91/'[2]Data Entry'!$C$11</f>
        <v>119.26829268292683</v>
      </c>
      <c r="K91" s="48">
        <f t="shared" si="44"/>
        <v>5.1641384987728993E-3</v>
      </c>
      <c r="L91" s="159">
        <f t="shared" si="45"/>
        <v>10073.4</v>
      </c>
      <c r="M91" s="123">
        <f>+L91/'[2]Data Entry'!$C$11</f>
        <v>122.84634146341463</v>
      </c>
      <c r="N91" s="125">
        <f t="shared" si="46"/>
        <v>4.7702393071607976E-3</v>
      </c>
      <c r="O91" s="160">
        <f t="shared" si="47"/>
        <v>10375.602000000001</v>
      </c>
      <c r="P91" s="123">
        <f>+O91/'[2]Data Entry'!$C$11</f>
        <v>126.53173170731708</v>
      </c>
      <c r="Q91" s="125">
        <f t="shared" si="48"/>
        <v>4.4531334450758639E-3</v>
      </c>
      <c r="R91" s="160">
        <f t="shared" si="49"/>
        <v>10686.870060000001</v>
      </c>
      <c r="S91" s="123">
        <f>+R91/'[2]Data Entry'!$C$11</f>
        <v>130.32768365853659</v>
      </c>
      <c r="T91" s="125">
        <f t="shared" si="50"/>
        <v>4.2689870664602333E-3</v>
      </c>
      <c r="U91" s="160">
        <f t="shared" si="51"/>
        <v>11007.476161800001</v>
      </c>
      <c r="V91" s="123">
        <f>+U91/'[2]Data Entry'!$C$11</f>
        <v>134.23751416829271</v>
      </c>
      <c r="W91" s="125">
        <f t="shared" si="52"/>
        <v>4.276013098054113E-3</v>
      </c>
      <c r="X91" s="160">
        <f t="shared" si="53"/>
        <v>11337.700446654002</v>
      </c>
      <c r="Y91" s="123">
        <f>+X91/'[2]Data Entry'!$C$11</f>
        <v>138.26463959334149</v>
      </c>
      <c r="Z91" s="48">
        <f t="shared" si="40"/>
        <v>4.2829251962240647E-3</v>
      </c>
      <c r="AB91" s="127"/>
      <c r="AD91" s="127"/>
      <c r="AF91" s="127"/>
      <c r="AH91" s="127"/>
      <c r="AJ91" s="127"/>
    </row>
    <row r="92" spans="2:36">
      <c r="B92" s="129" t="s">
        <v>299</v>
      </c>
      <c r="C92" s="118">
        <f>'IS (Combined)'!D47</f>
        <v>173.35</v>
      </c>
      <c r="D92" s="119">
        <f t="shared" si="42"/>
        <v>1.8881398220745992E-4</v>
      </c>
      <c r="E92" s="120">
        <f t="shared" si="41"/>
        <v>1081.5</v>
      </c>
      <c r="F92" s="121">
        <f t="shared" si="43"/>
        <v>1.1421300176733928E-3</v>
      </c>
      <c r="G92" s="120">
        <f t="shared" si="39"/>
        <v>-908.15</v>
      </c>
      <c r="H92" s="119"/>
      <c r="I92" s="118">
        <v>2163</v>
      </c>
      <c r="J92" s="123">
        <f>+I92/'[2]Data Entry'!$C$11</f>
        <v>26.378048780487806</v>
      </c>
      <c r="K92" s="48">
        <f t="shared" si="44"/>
        <v>1.1421300176733928E-3</v>
      </c>
      <c r="L92" s="159">
        <f t="shared" si="45"/>
        <v>2227.89</v>
      </c>
      <c r="M92" s="123">
        <f>+L92/'[2]Data Entry'!$C$11</f>
        <v>27.169390243902438</v>
      </c>
      <c r="N92" s="125">
        <f t="shared" si="46"/>
        <v>1.0550130492217591E-3</v>
      </c>
      <c r="O92" s="160">
        <f t="shared" si="47"/>
        <v>2294.7266999999997</v>
      </c>
      <c r="P92" s="123">
        <f>+O92/'[2]Data Entry'!$C$11</f>
        <v>27.984471951219508</v>
      </c>
      <c r="Q92" s="125">
        <f t="shared" si="48"/>
        <v>9.8488012696309741E-4</v>
      </c>
      <c r="R92" s="160">
        <f t="shared" si="49"/>
        <v>2363.5685009999997</v>
      </c>
      <c r="S92" s="123">
        <f>+R92/'[2]Data Entry'!$C$11</f>
        <v>28.824006109756095</v>
      </c>
      <c r="T92" s="125">
        <f t="shared" si="50"/>
        <v>9.4415327451467107E-4</v>
      </c>
      <c r="U92" s="160">
        <f t="shared" si="51"/>
        <v>2434.47555603</v>
      </c>
      <c r="V92" s="123">
        <f>+U92/'[2]Data Entry'!$C$11</f>
        <v>29.688726293048781</v>
      </c>
      <c r="W92" s="125">
        <f t="shared" si="52"/>
        <v>9.4570719131810269E-4</v>
      </c>
      <c r="X92" s="160">
        <f t="shared" si="53"/>
        <v>2507.5098227109002</v>
      </c>
      <c r="Y92" s="123">
        <f>+X92/'[2]Data Entry'!$C$11</f>
        <v>30.579388081840246</v>
      </c>
      <c r="Z92" s="48">
        <f t="shared" si="40"/>
        <v>9.4723590996243878E-4</v>
      </c>
      <c r="AB92" s="127"/>
      <c r="AD92" s="127"/>
      <c r="AF92" s="127"/>
      <c r="AH92" s="127"/>
      <c r="AJ92" s="127"/>
    </row>
    <row r="93" spans="2:36">
      <c r="B93" s="129" t="s">
        <v>300</v>
      </c>
      <c r="C93" s="118">
        <f>'IS (Combined)'!D46</f>
        <v>3117.08</v>
      </c>
      <c r="D93" s="119">
        <f t="shared" si="42"/>
        <v>3.3951444341461159E-3</v>
      </c>
      <c r="E93" s="120">
        <f t="shared" si="41"/>
        <v>2100</v>
      </c>
      <c r="F93" s="121">
        <f t="shared" si="43"/>
        <v>2.2177281896570734E-3</v>
      </c>
      <c r="G93" s="120">
        <f t="shared" si="39"/>
        <v>1017.0799999999999</v>
      </c>
      <c r="H93" s="119"/>
      <c r="I93" s="118">
        <v>4200</v>
      </c>
      <c r="J93" s="123">
        <f>+I93/'[2]Data Entry'!$C$11</f>
        <v>51.219512195121951</v>
      </c>
      <c r="K93" s="48">
        <f t="shared" si="44"/>
        <v>2.2177281896570734E-3</v>
      </c>
      <c r="L93" s="159">
        <f t="shared" si="45"/>
        <v>4326</v>
      </c>
      <c r="M93" s="123">
        <f>+L93/'[2]Data Entry'!$C$11</f>
        <v>52.756097560975611</v>
      </c>
      <c r="N93" s="125">
        <f t="shared" si="46"/>
        <v>2.0485690276150666E-3</v>
      </c>
      <c r="O93" s="160">
        <f t="shared" si="47"/>
        <v>4455.78</v>
      </c>
      <c r="P93" s="123">
        <f>+O93/'[2]Data Entry'!$C$11</f>
        <v>54.338780487804875</v>
      </c>
      <c r="Q93" s="125">
        <f t="shared" si="48"/>
        <v>1.9123885960448494E-3</v>
      </c>
      <c r="R93" s="160">
        <f t="shared" si="49"/>
        <v>4589.4533999999994</v>
      </c>
      <c r="S93" s="123">
        <f>+R93/'[2]Data Entry'!$C$11</f>
        <v>55.968943902439015</v>
      </c>
      <c r="T93" s="125">
        <f t="shared" si="50"/>
        <v>1.8333073291547011E-3</v>
      </c>
      <c r="U93" s="160">
        <f t="shared" si="51"/>
        <v>4727.1370019999995</v>
      </c>
      <c r="V93" s="123">
        <f>+U93/'[2]Data Entry'!$C$11</f>
        <v>57.648012219512189</v>
      </c>
      <c r="W93" s="125">
        <f t="shared" si="52"/>
        <v>1.8363246433361216E-3</v>
      </c>
      <c r="X93" s="160">
        <f t="shared" si="53"/>
        <v>4868.95111206</v>
      </c>
      <c r="Y93" s="123">
        <f>+X93/'[2]Data Entry'!$C$11</f>
        <v>59.377452586097561</v>
      </c>
      <c r="Z93" s="48">
        <f t="shared" si="40"/>
        <v>1.839293029053279E-3</v>
      </c>
      <c r="AB93" s="127"/>
      <c r="AD93" s="127"/>
      <c r="AF93" s="127"/>
      <c r="AH93" s="127"/>
      <c r="AJ93" s="127"/>
    </row>
    <row r="94" spans="2:36">
      <c r="B94" s="129" t="s">
        <v>301</v>
      </c>
      <c r="C94" s="118">
        <f>'IS (Combined)'!D45</f>
        <v>3770</v>
      </c>
      <c r="D94" s="119">
        <f t="shared" si="42"/>
        <v>4.1063092755819096E-3</v>
      </c>
      <c r="E94" s="120">
        <f t="shared" si="41"/>
        <v>1440</v>
      </c>
      <c r="F94" s="121">
        <f t="shared" si="43"/>
        <v>1.5207279014791361E-3</v>
      </c>
      <c r="G94" s="120">
        <f t="shared" si="39"/>
        <v>2330</v>
      </c>
      <c r="H94" s="119"/>
      <c r="I94" s="118">
        <v>2880</v>
      </c>
      <c r="J94" s="123">
        <f>+I94/'[2]Data Entry'!$C$11</f>
        <v>35.121951219512198</v>
      </c>
      <c r="K94" s="48">
        <f t="shared" si="44"/>
        <v>1.5207279014791361E-3</v>
      </c>
      <c r="L94" s="159">
        <f t="shared" si="45"/>
        <v>2966.4</v>
      </c>
      <c r="M94" s="123">
        <f>+L94/'[2]Data Entry'!$C$11</f>
        <v>36.175609756097565</v>
      </c>
      <c r="N94" s="125">
        <f t="shared" si="46"/>
        <v>1.4047330475074741E-3</v>
      </c>
      <c r="O94" s="160">
        <f t="shared" si="47"/>
        <v>3055.3920000000003</v>
      </c>
      <c r="P94" s="123">
        <f>+O94/'[2]Data Entry'!$C$11</f>
        <v>37.260878048780491</v>
      </c>
      <c r="Q94" s="125">
        <f t="shared" si="48"/>
        <v>1.3113521801450397E-3</v>
      </c>
      <c r="R94" s="160">
        <f t="shared" si="49"/>
        <v>3147.0537600000002</v>
      </c>
      <c r="S94" s="123">
        <f>+R94/'[2]Data Entry'!$C$11</f>
        <v>38.378704390243904</v>
      </c>
      <c r="T94" s="125">
        <f t="shared" si="50"/>
        <v>1.2571250257060809E-3</v>
      </c>
      <c r="U94" s="160">
        <f t="shared" si="51"/>
        <v>3241.4653728000003</v>
      </c>
      <c r="V94" s="123">
        <f>+U94/'[2]Data Entry'!$C$11</f>
        <v>39.530065521951222</v>
      </c>
      <c r="W94" s="125">
        <f t="shared" si="52"/>
        <v>1.2591940411447694E-3</v>
      </c>
      <c r="X94" s="160">
        <f t="shared" si="53"/>
        <v>3338.7093339840003</v>
      </c>
      <c r="Y94" s="123">
        <f>+X94/'[2]Data Entry'!$C$11</f>
        <v>40.71596748760976</v>
      </c>
      <c r="Z94" s="48">
        <f t="shared" si="40"/>
        <v>1.2612295056365344E-3</v>
      </c>
      <c r="AB94" s="127"/>
      <c r="AD94" s="127"/>
      <c r="AF94" s="127"/>
      <c r="AH94" s="127"/>
      <c r="AJ94" s="127"/>
    </row>
    <row r="95" spans="2:36">
      <c r="B95" s="129" t="s">
        <v>302</v>
      </c>
      <c r="C95" s="118">
        <v>0</v>
      </c>
      <c r="D95" s="119">
        <f t="shared" si="42"/>
        <v>0</v>
      </c>
      <c r="E95" s="120">
        <f t="shared" si="41"/>
        <v>0</v>
      </c>
      <c r="F95" s="121">
        <f t="shared" si="43"/>
        <v>0</v>
      </c>
      <c r="G95" s="120">
        <f t="shared" si="39"/>
        <v>0</v>
      </c>
      <c r="H95" s="119"/>
      <c r="I95" s="118">
        <v>0</v>
      </c>
      <c r="J95" s="123">
        <f>+I95/'[2]Data Entry'!$C$11</f>
        <v>0</v>
      </c>
      <c r="K95" s="48">
        <f t="shared" si="44"/>
        <v>0</v>
      </c>
      <c r="L95" s="159">
        <f t="shared" si="45"/>
        <v>0</v>
      </c>
      <c r="M95" s="123">
        <f>+L95/'[2]Data Entry'!$C$11</f>
        <v>0</v>
      </c>
      <c r="N95" s="125">
        <f t="shared" si="46"/>
        <v>0</v>
      </c>
      <c r="O95" s="160">
        <f t="shared" si="47"/>
        <v>0</v>
      </c>
      <c r="P95" s="123">
        <f>+O95/'[2]Data Entry'!$C$11</f>
        <v>0</v>
      </c>
      <c r="Q95" s="125">
        <f t="shared" si="48"/>
        <v>0</v>
      </c>
      <c r="R95" s="160">
        <f t="shared" si="49"/>
        <v>0</v>
      </c>
      <c r="S95" s="123">
        <f>+R95/'[2]Data Entry'!$C$11</f>
        <v>0</v>
      </c>
      <c r="T95" s="125">
        <f t="shared" si="50"/>
        <v>0</v>
      </c>
      <c r="U95" s="160">
        <f t="shared" si="51"/>
        <v>0</v>
      </c>
      <c r="V95" s="123">
        <f>+U95/'[2]Data Entry'!$C$11</f>
        <v>0</v>
      </c>
      <c r="W95" s="125">
        <f t="shared" si="52"/>
        <v>0</v>
      </c>
      <c r="X95" s="160">
        <f t="shared" si="53"/>
        <v>0</v>
      </c>
      <c r="Y95" s="123">
        <f>+X95/'[2]Data Entry'!$C$11</f>
        <v>0</v>
      </c>
      <c r="Z95" s="48">
        <f t="shared" si="40"/>
        <v>0</v>
      </c>
      <c r="AB95" s="127"/>
      <c r="AD95" s="127"/>
      <c r="AF95" s="127"/>
      <c r="AH95" s="127"/>
      <c r="AJ95" s="127"/>
    </row>
    <row r="96" spans="2:36">
      <c r="B96" s="129" t="s">
        <v>303</v>
      </c>
      <c r="C96" s="118">
        <v>0</v>
      </c>
      <c r="D96" s="119">
        <f t="shared" si="42"/>
        <v>0</v>
      </c>
      <c r="E96" s="120">
        <f t="shared" si="41"/>
        <v>0</v>
      </c>
      <c r="F96" s="121">
        <f t="shared" si="43"/>
        <v>0</v>
      </c>
      <c r="G96" s="120">
        <f t="shared" si="39"/>
        <v>0</v>
      </c>
      <c r="H96" s="119"/>
      <c r="I96" s="118">
        <v>0</v>
      </c>
      <c r="J96" s="123">
        <f>+I96/'[2]Data Entry'!$C$11</f>
        <v>0</v>
      </c>
      <c r="K96" s="48">
        <f t="shared" si="44"/>
        <v>0</v>
      </c>
      <c r="L96" s="159">
        <f t="shared" si="45"/>
        <v>0</v>
      </c>
      <c r="M96" s="123">
        <f>+L96/'[2]Data Entry'!$C$11</f>
        <v>0</v>
      </c>
      <c r="N96" s="125">
        <f t="shared" si="46"/>
        <v>0</v>
      </c>
      <c r="O96" s="160">
        <f t="shared" si="47"/>
        <v>0</v>
      </c>
      <c r="P96" s="123">
        <f>+O96/'[2]Data Entry'!$C$11</f>
        <v>0</v>
      </c>
      <c r="Q96" s="125">
        <f t="shared" si="48"/>
        <v>0</v>
      </c>
      <c r="R96" s="160">
        <f t="shared" si="49"/>
        <v>0</v>
      </c>
      <c r="S96" s="123">
        <f>+R96/'[2]Data Entry'!$C$11</f>
        <v>0</v>
      </c>
      <c r="T96" s="125">
        <f t="shared" si="50"/>
        <v>0</v>
      </c>
      <c r="U96" s="160">
        <f t="shared" si="51"/>
        <v>0</v>
      </c>
      <c r="V96" s="123">
        <f>+U96/'[2]Data Entry'!$C$11</f>
        <v>0</v>
      </c>
      <c r="W96" s="125">
        <f t="shared" si="52"/>
        <v>0</v>
      </c>
      <c r="X96" s="160">
        <f t="shared" si="53"/>
        <v>0</v>
      </c>
      <c r="Y96" s="123">
        <f>+X96/'[2]Data Entry'!$C$11</f>
        <v>0</v>
      </c>
      <c r="Z96" s="48">
        <f t="shared" si="40"/>
        <v>0</v>
      </c>
      <c r="AB96" s="127"/>
      <c r="AD96" s="127"/>
      <c r="AF96" s="127"/>
      <c r="AH96" s="127"/>
      <c r="AJ96" s="127"/>
    </row>
    <row r="97" spans="2:36">
      <c r="B97" s="129" t="s">
        <v>304</v>
      </c>
      <c r="C97" s="118">
        <f>'IS (Combined)'!D70</f>
        <v>1656</v>
      </c>
      <c r="D97" s="119">
        <f t="shared" si="42"/>
        <v>1.8037263024837246E-3</v>
      </c>
      <c r="E97" s="120">
        <f t="shared" si="41"/>
        <v>22565</v>
      </c>
      <c r="F97" s="121">
        <f t="shared" si="43"/>
        <v>2.3830017428386602E-2</v>
      </c>
      <c r="G97" s="120">
        <f t="shared" si="39"/>
        <v>-20909</v>
      </c>
      <c r="H97" s="119"/>
      <c r="I97" s="118">
        <v>45130</v>
      </c>
      <c r="J97" s="123">
        <f>+I97/'[2]Data Entry'!$C$11</f>
        <v>550.36585365853659</v>
      </c>
      <c r="K97" s="48">
        <f t="shared" si="44"/>
        <v>2.3830017428386602E-2</v>
      </c>
      <c r="L97" s="159">
        <f t="shared" si="45"/>
        <v>46483.9</v>
      </c>
      <c r="M97" s="123">
        <f>+L97/'[2]Data Entry'!$C$11</f>
        <v>566.87682926829268</v>
      </c>
      <c r="N97" s="125">
        <f t="shared" si="46"/>
        <v>2.2012361956254275E-2</v>
      </c>
      <c r="O97" s="160">
        <f t="shared" si="47"/>
        <v>47878.417000000001</v>
      </c>
      <c r="P97" s="123">
        <f>+O97/'[2]Data Entry'!$C$11</f>
        <v>583.88313414634149</v>
      </c>
      <c r="Q97" s="125">
        <f t="shared" si="48"/>
        <v>2.0549070795120014E-2</v>
      </c>
      <c r="R97" s="160">
        <f t="shared" si="49"/>
        <v>49314.769510000006</v>
      </c>
      <c r="S97" s="123">
        <f>+R97/'[2]Data Entry'!$C$11</f>
        <v>601.39962817073183</v>
      </c>
      <c r="T97" s="125">
        <f t="shared" si="50"/>
        <v>1.9699323753512302E-2</v>
      </c>
      <c r="U97" s="160">
        <f t="shared" si="51"/>
        <v>50794.212595300007</v>
      </c>
      <c r="V97" s="123">
        <f>+U97/'[2]Data Entry'!$C$11</f>
        <v>619.44161701585369</v>
      </c>
      <c r="W97" s="125">
        <f t="shared" si="52"/>
        <v>1.9731745512799808E-2</v>
      </c>
      <c r="X97" s="160">
        <f t="shared" si="53"/>
        <v>52318.038973159011</v>
      </c>
      <c r="Y97" s="123">
        <f>+X97/'[2]Data Entry'!$C$11</f>
        <v>638.02486552632945</v>
      </c>
      <c r="Z97" s="48">
        <f t="shared" si="40"/>
        <v>1.9763641524089166E-2</v>
      </c>
      <c r="AB97" s="127"/>
      <c r="AD97" s="127"/>
      <c r="AF97" s="127"/>
      <c r="AH97" s="127"/>
      <c r="AJ97" s="127"/>
    </row>
    <row r="98" spans="2:36">
      <c r="B98" s="180" t="s">
        <v>305</v>
      </c>
      <c r="C98" s="181"/>
      <c r="D98" s="182"/>
      <c r="E98" s="120">
        <f t="shared" si="41"/>
        <v>0</v>
      </c>
      <c r="F98" s="184"/>
      <c r="G98" s="120">
        <f t="shared" si="39"/>
        <v>0</v>
      </c>
      <c r="H98" s="182"/>
      <c r="I98" s="181"/>
      <c r="J98" s="185"/>
      <c r="K98" s="186"/>
      <c r="L98" s="181"/>
      <c r="M98" s="185"/>
      <c r="N98" s="187"/>
      <c r="O98" s="188"/>
      <c r="P98" s="185"/>
      <c r="Q98" s="187"/>
      <c r="R98" s="188"/>
      <c r="S98" s="185"/>
      <c r="T98" s="187"/>
      <c r="U98" s="188"/>
      <c r="V98" s="185"/>
      <c r="W98" s="187"/>
      <c r="X98" s="188"/>
      <c r="Y98" s="185"/>
      <c r="Z98" s="186"/>
      <c r="AB98" s="127"/>
      <c r="AD98" s="127"/>
      <c r="AF98" s="127"/>
      <c r="AH98" s="127"/>
      <c r="AJ98" s="127"/>
    </row>
    <row r="99" spans="2:36">
      <c r="B99" s="129" t="s">
        <v>306</v>
      </c>
      <c r="C99" s="118">
        <f>'IS (Combined)'!D79</f>
        <v>62775.220000000008</v>
      </c>
      <c r="D99" s="119">
        <f t="shared" si="42"/>
        <v>6.8375190494083554E-2</v>
      </c>
      <c r="E99" s="120">
        <f t="shared" si="41"/>
        <v>61500</v>
      </c>
      <c r="F99" s="121">
        <f t="shared" ref="F99:F130" si="54">+E99/E$85</f>
        <v>6.4947754125671442E-2</v>
      </c>
      <c r="G99" s="120">
        <f t="shared" si="39"/>
        <v>1275.2200000000084</v>
      </c>
      <c r="H99" s="119"/>
      <c r="I99" s="124">
        <v>123000</v>
      </c>
      <c r="J99" s="189">
        <v>1470</v>
      </c>
      <c r="K99" s="48">
        <f t="shared" si="44"/>
        <v>6.4947754125671442E-2</v>
      </c>
      <c r="L99" s="159">
        <f>(1+$L$9)*+I99</f>
        <v>126690</v>
      </c>
      <c r="M99" s="123">
        <f>+L99/'[2]Data Entry'!$C$11</f>
        <v>1545</v>
      </c>
      <c r="N99" s="125">
        <f>+L99/$L$85</f>
        <v>5.9993807237298379E-2</v>
      </c>
      <c r="O99" s="160">
        <f>(1+$L$9)*+L99</f>
        <v>130490.7</v>
      </c>
      <c r="P99" s="123">
        <f>+O99/'[2]Data Entry'!$C$11</f>
        <v>1591.35</v>
      </c>
      <c r="Q99" s="125">
        <f>+O99/$O$85</f>
        <v>5.6005666027027737E-2</v>
      </c>
      <c r="R99" s="160">
        <f>(1+$L$9)*+O99</f>
        <v>134405.421</v>
      </c>
      <c r="S99" s="123">
        <f>+R99/'[2]Data Entry'!$C$11</f>
        <v>1639.0905</v>
      </c>
      <c r="T99" s="125">
        <f>+R99/$R$85</f>
        <v>5.3689714639530539E-2</v>
      </c>
      <c r="U99" s="160">
        <f>(1+$L$9)*+R99</f>
        <v>138437.58363000001</v>
      </c>
      <c r="V99" s="123">
        <f>+U99/'[2]Data Entry'!$C$11</f>
        <v>1688.2632150000002</v>
      </c>
      <c r="W99" s="125">
        <f>+U99/$U$85</f>
        <v>5.3778078840557859E-2</v>
      </c>
      <c r="X99" s="160">
        <f>(1+$L$9)*+U99</f>
        <v>142590.71113890002</v>
      </c>
      <c r="Y99" s="123">
        <f>+X99/'[2]Data Entry'!$C$11</f>
        <v>1738.9111114500001</v>
      </c>
      <c r="Z99" s="48">
        <f>+X99/$X$85</f>
        <v>5.3865010136560323E-2</v>
      </c>
      <c r="AB99" s="127"/>
      <c r="AD99" s="127"/>
      <c r="AF99" s="127"/>
      <c r="AH99" s="127"/>
      <c r="AJ99" s="127"/>
    </row>
    <row r="100" spans="2:36">
      <c r="B100" s="129" t="s">
        <v>307</v>
      </c>
      <c r="C100" s="118">
        <v>0</v>
      </c>
      <c r="D100" s="119">
        <f t="shared" si="42"/>
        <v>0</v>
      </c>
      <c r="E100" s="120">
        <f t="shared" si="41"/>
        <v>0</v>
      </c>
      <c r="F100" s="121">
        <f t="shared" si="54"/>
        <v>0</v>
      </c>
      <c r="G100" s="120">
        <f t="shared" si="39"/>
        <v>0</v>
      </c>
      <c r="H100" s="119"/>
      <c r="I100" s="118">
        <v>0</v>
      </c>
      <c r="J100" s="123">
        <f>+I100/'[2]Data Entry'!$C$11</f>
        <v>0</v>
      </c>
      <c r="K100" s="48">
        <f t="shared" si="44"/>
        <v>0</v>
      </c>
      <c r="L100" s="159">
        <f>(1+$L$9)*+I100</f>
        <v>0</v>
      </c>
      <c r="M100" s="123">
        <f>+L100/'[2]Data Entry'!$C$11</f>
        <v>0</v>
      </c>
      <c r="N100" s="125">
        <f t="shared" ref="N100:N133" si="55">+L100/$L$85</f>
        <v>0</v>
      </c>
      <c r="O100" s="160">
        <f>(1+$L$9)*+L100</f>
        <v>0</v>
      </c>
      <c r="P100" s="123">
        <f>+O100/'[2]Data Entry'!$C$11</f>
        <v>0</v>
      </c>
      <c r="Q100" s="125">
        <f t="shared" ref="Q100:Q133" si="56">+O100/$O$85</f>
        <v>0</v>
      </c>
      <c r="R100" s="160">
        <f>(1+$L$9)*+O100</f>
        <v>0</v>
      </c>
      <c r="S100" s="123">
        <f>+R100/'[2]Data Entry'!$C$11</f>
        <v>0</v>
      </c>
      <c r="T100" s="125">
        <f t="shared" ref="T100:T133" si="57">+R100/$R$85</f>
        <v>0</v>
      </c>
      <c r="U100" s="160">
        <f>(1+$L$9)*+R100</f>
        <v>0</v>
      </c>
      <c r="V100" s="123">
        <f>+U100/'[2]Data Entry'!$C$11</f>
        <v>0</v>
      </c>
      <c r="W100" s="125">
        <f t="shared" ref="W100:W133" si="58">+U100/$U$85</f>
        <v>0</v>
      </c>
      <c r="X100" s="160">
        <f>(1+$L$9)*+U100</f>
        <v>0</v>
      </c>
      <c r="Y100" s="123">
        <f>+X100/'[2]Data Entry'!$C$11</f>
        <v>0</v>
      </c>
      <c r="Z100" s="48">
        <f t="shared" ref="Z100:Z133" si="59">+X100/$X$85</f>
        <v>0</v>
      </c>
      <c r="AB100" s="127"/>
      <c r="AD100" s="127"/>
      <c r="AF100" s="127"/>
      <c r="AH100" s="127"/>
      <c r="AJ100" s="127"/>
    </row>
    <row r="101" spans="2:36">
      <c r="B101" s="129" t="s">
        <v>308</v>
      </c>
      <c r="C101" s="118">
        <v>0</v>
      </c>
      <c r="D101" s="119">
        <f t="shared" si="42"/>
        <v>0</v>
      </c>
      <c r="E101" s="120">
        <f t="shared" si="41"/>
        <v>0</v>
      </c>
      <c r="F101" s="121">
        <f t="shared" si="54"/>
        <v>0</v>
      </c>
      <c r="G101" s="120">
        <f t="shared" si="39"/>
        <v>0</v>
      </c>
      <c r="H101" s="119"/>
      <c r="I101" s="118"/>
      <c r="J101" s="123">
        <f>+I101/'[2]Data Entry'!$C$11</f>
        <v>0</v>
      </c>
      <c r="K101" s="48">
        <f t="shared" si="44"/>
        <v>0</v>
      </c>
      <c r="L101" s="159">
        <f>(1+$L$9)*+I101</f>
        <v>0</v>
      </c>
      <c r="M101" s="123">
        <f>+L101/'[2]Data Entry'!$C$11</f>
        <v>0</v>
      </c>
      <c r="N101" s="125">
        <f t="shared" si="55"/>
        <v>0</v>
      </c>
      <c r="O101" s="160">
        <f>(1+$L$9)*+L101</f>
        <v>0</v>
      </c>
      <c r="P101" s="123">
        <f>+O101/'[2]Data Entry'!$C$11</f>
        <v>0</v>
      </c>
      <c r="Q101" s="125">
        <f t="shared" si="56"/>
        <v>0</v>
      </c>
      <c r="R101" s="160">
        <f>(1+$L$9)*+O101</f>
        <v>0</v>
      </c>
      <c r="S101" s="123">
        <f>+R101/'[2]Data Entry'!$C$11</f>
        <v>0</v>
      </c>
      <c r="T101" s="125">
        <f t="shared" si="57"/>
        <v>0</v>
      </c>
      <c r="U101" s="160">
        <f>(1+$L$9)*+R101</f>
        <v>0</v>
      </c>
      <c r="V101" s="123">
        <f>+U101/'[2]Data Entry'!$C$11</f>
        <v>0</v>
      </c>
      <c r="W101" s="125">
        <f t="shared" si="58"/>
        <v>0</v>
      </c>
      <c r="X101" s="160">
        <f>(1+$L$9)*+U101</f>
        <v>0</v>
      </c>
      <c r="Y101" s="123">
        <f>+X101/'[2]Data Entry'!$C$11</f>
        <v>0</v>
      </c>
      <c r="Z101" s="48">
        <f t="shared" si="59"/>
        <v>0</v>
      </c>
      <c r="AB101" s="127"/>
      <c r="AD101" s="127"/>
      <c r="AF101" s="127"/>
      <c r="AH101" s="127"/>
      <c r="AJ101" s="127"/>
    </row>
    <row r="102" spans="2:36">
      <c r="B102" s="117" t="s">
        <v>309</v>
      </c>
      <c r="C102" s="118">
        <f>'IS (Combined)'!D57</f>
        <v>1663.59</v>
      </c>
      <c r="D102" s="119">
        <f t="shared" si="42"/>
        <v>1.8119933813701083E-3</v>
      </c>
      <c r="E102" s="120">
        <f t="shared" si="41"/>
        <v>52080.322800000002</v>
      </c>
      <c r="F102" s="121">
        <f t="shared" si="54"/>
        <v>5.5000000000000007E-2</v>
      </c>
      <c r="G102" s="120">
        <f t="shared" si="39"/>
        <v>-50416.732800000005</v>
      </c>
      <c r="H102" s="119"/>
      <c r="I102" s="124">
        <f>+I85*'[2]Data Entry'!$C$32</f>
        <v>104160.6456</v>
      </c>
      <c r="J102" s="123">
        <f>+I102/'[2]Data Entry'!$C$11</f>
        <v>1270.2517756097561</v>
      </c>
      <c r="K102" s="48">
        <f t="shared" si="44"/>
        <v>5.5000000000000007E-2</v>
      </c>
      <c r="L102" s="124">
        <f>+L85*'[2]Data Entry'!$C$32</f>
        <v>116144.48758751219</v>
      </c>
      <c r="M102" s="123">
        <f>+L102/'[2]Data Entry'!$C$11</f>
        <v>1416.3961900916122</v>
      </c>
      <c r="N102" s="125">
        <f t="shared" si="55"/>
        <v>5.5E-2</v>
      </c>
      <c r="O102" s="46">
        <f>+O85*'[2]Data Entry'!$C$32</f>
        <v>128147.54308138149</v>
      </c>
      <c r="P102" s="123">
        <f>+O102/'[2]Data Entry'!$C$11</f>
        <v>1562.7749156266036</v>
      </c>
      <c r="Q102" s="125">
        <f t="shared" si="56"/>
        <v>5.5E-2</v>
      </c>
      <c r="R102" s="46">
        <f>+R85*'[2]Data Entry'!$C$32</f>
        <v>137685.55494532685</v>
      </c>
      <c r="S102" s="123">
        <f>+R102/'[2]Data Entry'!$C$11</f>
        <v>1679.0921334795958</v>
      </c>
      <c r="T102" s="125">
        <f t="shared" si="57"/>
        <v>5.5000000000000007E-2</v>
      </c>
      <c r="U102" s="46">
        <f>+U85*'[2]Data Entry'!$C$32</f>
        <v>141583.09972775923</v>
      </c>
      <c r="V102" s="123">
        <f>+U102/'[2]Data Entry'!$C$11</f>
        <v>1726.623167411698</v>
      </c>
      <c r="W102" s="125">
        <f t="shared" si="58"/>
        <v>5.5000000000000007E-2</v>
      </c>
      <c r="X102" s="46">
        <f>+X85*'[2]Data Entry'!$C$32</f>
        <v>145595.24063500532</v>
      </c>
      <c r="Y102" s="123">
        <f>+X102/'[2]Data Entry'!$C$11</f>
        <v>1775.5517150610406</v>
      </c>
      <c r="Z102" s="48">
        <f t="shared" si="59"/>
        <v>5.5E-2</v>
      </c>
      <c r="AB102" s="127"/>
      <c r="AD102" s="127"/>
      <c r="AF102" s="127"/>
      <c r="AH102" s="127"/>
      <c r="AJ102" s="127"/>
    </row>
    <row r="103" spans="2:36">
      <c r="B103" s="117" t="s">
        <v>310</v>
      </c>
      <c r="C103" s="118">
        <v>0</v>
      </c>
      <c r="D103" s="119">
        <f t="shared" si="42"/>
        <v>0</v>
      </c>
      <c r="E103" s="120">
        <f t="shared" si="41"/>
        <v>30</v>
      </c>
      <c r="F103" s="121">
        <f t="shared" si="54"/>
        <v>3.1681831280815332E-5</v>
      </c>
      <c r="G103" s="120">
        <f t="shared" si="39"/>
        <v>-30</v>
      </c>
      <c r="H103" s="119"/>
      <c r="I103" s="118">
        <v>60</v>
      </c>
      <c r="J103" s="123">
        <f>+I103/'[2]Data Entry'!$C$11</f>
        <v>0.73170731707317072</v>
      </c>
      <c r="K103" s="48">
        <f t="shared" si="44"/>
        <v>3.1681831280815332E-5</v>
      </c>
      <c r="L103" s="159">
        <f t="shared" ref="L103:L111" si="60">(1+$L$9)*+I103</f>
        <v>61.800000000000004</v>
      </c>
      <c r="M103" s="123">
        <f>+L103/'[2]Data Entry'!$C$11</f>
        <v>0.75365853658536586</v>
      </c>
      <c r="N103" s="125">
        <f t="shared" si="55"/>
        <v>2.9265271823072381E-5</v>
      </c>
      <c r="O103" s="160">
        <f t="shared" ref="O103:O111" si="61">(1+$L$9)*+L103</f>
        <v>63.654000000000003</v>
      </c>
      <c r="P103" s="123">
        <f>+O103/'[2]Data Entry'!$C$11</f>
        <v>0.77626829268292685</v>
      </c>
      <c r="Q103" s="125">
        <f t="shared" si="56"/>
        <v>2.7319837086354996E-5</v>
      </c>
      <c r="R103" s="160">
        <f t="shared" ref="R103:R111" si="62">(1+$L$9)*+O103</f>
        <v>65.56362</v>
      </c>
      <c r="S103" s="123">
        <f>+R103/'[2]Data Entry'!$C$11</f>
        <v>0.79955634146341459</v>
      </c>
      <c r="T103" s="125">
        <f t="shared" si="57"/>
        <v>2.6190104702210018E-5</v>
      </c>
      <c r="U103" s="160">
        <f t="shared" ref="U103:U111" si="63">(1+$L$9)*+R103</f>
        <v>67.530528599999997</v>
      </c>
      <c r="V103" s="123">
        <f>+U103/'[2]Data Entry'!$C$11</f>
        <v>0.82354303170731702</v>
      </c>
      <c r="W103" s="125">
        <f t="shared" si="58"/>
        <v>2.6233209190516026E-5</v>
      </c>
      <c r="X103" s="160">
        <f t="shared" ref="X103:X111" si="64">(1+$L$9)*+U103</f>
        <v>69.556444458000001</v>
      </c>
      <c r="Y103" s="123">
        <f>+X103/'[2]Data Entry'!$C$11</f>
        <v>0.84824932265853659</v>
      </c>
      <c r="Z103" s="48">
        <f t="shared" si="59"/>
        <v>2.6275614700761129E-5</v>
      </c>
      <c r="AB103" s="127"/>
      <c r="AD103" s="127"/>
      <c r="AF103" s="127"/>
      <c r="AH103" s="127"/>
      <c r="AJ103" s="127"/>
    </row>
    <row r="104" spans="2:36">
      <c r="B104" s="117" t="s">
        <v>311</v>
      </c>
      <c r="C104" s="118">
        <v>0</v>
      </c>
      <c r="D104" s="119">
        <f>+C104/$C$85</f>
        <v>0</v>
      </c>
      <c r="E104" s="120">
        <f t="shared" si="41"/>
        <v>0</v>
      </c>
      <c r="F104" s="121">
        <f t="shared" si="54"/>
        <v>0</v>
      </c>
      <c r="G104" s="120">
        <f t="shared" si="39"/>
        <v>0</v>
      </c>
      <c r="H104" s="119"/>
      <c r="I104" s="124">
        <f>'[2]Admin - Payroll - RE Taxes'!E22</f>
        <v>0</v>
      </c>
      <c r="J104" s="123">
        <f>+I104/'[2]Data Entry'!$C$11</f>
        <v>0</v>
      </c>
      <c r="K104" s="48">
        <f t="shared" si="44"/>
        <v>0</v>
      </c>
      <c r="L104" s="159">
        <f t="shared" si="60"/>
        <v>0</v>
      </c>
      <c r="M104" s="123">
        <f>+L104/'[2]Data Entry'!$C$11</f>
        <v>0</v>
      </c>
      <c r="N104" s="125">
        <f t="shared" si="55"/>
        <v>0</v>
      </c>
      <c r="O104" s="160">
        <f t="shared" si="61"/>
        <v>0</v>
      </c>
      <c r="P104" s="123">
        <f>+O104/'[2]Data Entry'!$C$11</f>
        <v>0</v>
      </c>
      <c r="Q104" s="125">
        <f t="shared" si="56"/>
        <v>0</v>
      </c>
      <c r="R104" s="160">
        <f t="shared" si="62"/>
        <v>0</v>
      </c>
      <c r="S104" s="123">
        <f>+R104/'[2]Data Entry'!$C$11</f>
        <v>0</v>
      </c>
      <c r="T104" s="125">
        <f t="shared" si="57"/>
        <v>0</v>
      </c>
      <c r="U104" s="160">
        <f t="shared" si="63"/>
        <v>0</v>
      </c>
      <c r="V104" s="123">
        <f>+U104/'[2]Data Entry'!$C$11</f>
        <v>0</v>
      </c>
      <c r="W104" s="125">
        <f t="shared" si="58"/>
        <v>0</v>
      </c>
      <c r="X104" s="160">
        <f t="shared" si="64"/>
        <v>0</v>
      </c>
      <c r="Y104" s="123">
        <f>+X104/'[2]Data Entry'!$C$11</f>
        <v>0</v>
      </c>
      <c r="Z104" s="48">
        <f t="shared" si="59"/>
        <v>0</v>
      </c>
      <c r="AB104" s="127"/>
      <c r="AD104" s="127"/>
      <c r="AF104" s="127"/>
      <c r="AH104" s="127"/>
      <c r="AJ104" s="127"/>
    </row>
    <row r="105" spans="2:36">
      <c r="B105" s="117" t="s">
        <v>312</v>
      </c>
      <c r="C105" s="118">
        <f>'IS (Combined)'!D66</f>
        <v>42569.96</v>
      </c>
      <c r="D105" s="119">
        <f t="shared" si="42"/>
        <v>4.6367485837971047E-2</v>
      </c>
      <c r="E105" s="120">
        <f t="shared" si="41"/>
        <v>6765</v>
      </c>
      <c r="F105" s="121">
        <f t="shared" si="54"/>
        <v>7.1442529538238578E-3</v>
      </c>
      <c r="G105" s="120">
        <f t="shared" si="39"/>
        <v>35804.959999999999</v>
      </c>
      <c r="H105" s="119"/>
      <c r="I105" s="124">
        <f>+'[2]Data Entry'!$C$11*J105</f>
        <v>13530</v>
      </c>
      <c r="J105" s="189">
        <v>165</v>
      </c>
      <c r="K105" s="48">
        <f>+I105/I$85</f>
        <v>7.1442529538238578E-3</v>
      </c>
      <c r="L105" s="159">
        <f t="shared" si="60"/>
        <v>13935.9</v>
      </c>
      <c r="M105" s="123">
        <f>+L105/'[2]Data Entry'!$C$11</f>
        <v>169.95</v>
      </c>
      <c r="N105" s="125">
        <f t="shared" si="55"/>
        <v>6.5993187961028215E-3</v>
      </c>
      <c r="O105" s="160">
        <f t="shared" si="61"/>
        <v>14353.977000000001</v>
      </c>
      <c r="P105" s="123">
        <f>+O105/'[2]Data Entry'!$C$11</f>
        <v>175.04850000000002</v>
      </c>
      <c r="Q105" s="125">
        <f t="shared" si="56"/>
        <v>6.1606232629730509E-3</v>
      </c>
      <c r="R105" s="160">
        <f t="shared" si="62"/>
        <v>14784.596310000001</v>
      </c>
      <c r="S105" s="123">
        <f>+R105/'[2]Data Entry'!$C$11</f>
        <v>180.29995500000001</v>
      </c>
      <c r="T105" s="125">
        <f t="shared" si="57"/>
        <v>5.9058686103483594E-3</v>
      </c>
      <c r="U105" s="160">
        <f t="shared" si="63"/>
        <v>15228.134199300001</v>
      </c>
      <c r="V105" s="123">
        <f>+U105/'[2]Data Entry'!$C$11</f>
        <v>185.70895365000001</v>
      </c>
      <c r="W105" s="125">
        <f t="shared" si="58"/>
        <v>5.9155886724613638E-3</v>
      </c>
      <c r="X105" s="160">
        <f t="shared" si="64"/>
        <v>15684.978225279001</v>
      </c>
      <c r="Y105" s="123">
        <f>+X105/'[2]Data Entry'!$C$11</f>
        <v>191.28022225950002</v>
      </c>
      <c r="Z105" s="48">
        <f>+X105/$X$85</f>
        <v>5.9251511150216355E-3</v>
      </c>
      <c r="AB105" s="127"/>
      <c r="AD105" s="127"/>
      <c r="AF105" s="127"/>
      <c r="AH105" s="127"/>
      <c r="AJ105" s="127"/>
    </row>
    <row r="106" spans="2:36">
      <c r="B106" s="117" t="s">
        <v>313</v>
      </c>
      <c r="C106" s="118">
        <v>0</v>
      </c>
      <c r="D106" s="119">
        <f t="shared" si="42"/>
        <v>0</v>
      </c>
      <c r="E106" s="120">
        <f t="shared" si="41"/>
        <v>18450</v>
      </c>
      <c r="F106" s="121">
        <f t="shared" si="54"/>
        <v>1.9484326237701431E-2</v>
      </c>
      <c r="G106" s="120">
        <f t="shared" si="39"/>
        <v>-18450</v>
      </c>
      <c r="H106" s="119"/>
      <c r="I106" s="124">
        <f>+'[2]Data Entry'!$C$11*J106</f>
        <v>36900</v>
      </c>
      <c r="J106" s="189">
        <v>450</v>
      </c>
      <c r="K106" s="48">
        <f>+I106/I$85</f>
        <v>1.9484326237701431E-2</v>
      </c>
      <c r="L106" s="159">
        <f t="shared" si="60"/>
        <v>38007</v>
      </c>
      <c r="M106" s="123">
        <f>+L106/'[2]Data Entry'!$C$11</f>
        <v>463.5</v>
      </c>
      <c r="N106" s="125">
        <f t="shared" si="55"/>
        <v>1.7998142171189512E-2</v>
      </c>
      <c r="O106" s="160">
        <f t="shared" si="61"/>
        <v>39147.21</v>
      </c>
      <c r="P106" s="123">
        <f>+O106/'[2]Data Entry'!$C$11</f>
        <v>477.40499999999997</v>
      </c>
      <c r="Q106" s="125">
        <f t="shared" si="56"/>
        <v>1.680169980810832E-2</v>
      </c>
      <c r="R106" s="160">
        <f t="shared" si="62"/>
        <v>40321.626300000004</v>
      </c>
      <c r="S106" s="123">
        <f>+R106/'[2]Data Entry'!$C$11</f>
        <v>491.72715000000005</v>
      </c>
      <c r="T106" s="125">
        <f t="shared" si="57"/>
        <v>1.6106914391859163E-2</v>
      </c>
      <c r="U106" s="160">
        <f t="shared" si="63"/>
        <v>41531.275089000002</v>
      </c>
      <c r="V106" s="123">
        <f>+U106/'[2]Data Entry'!$C$11</f>
        <v>506.47896450000002</v>
      </c>
      <c r="W106" s="125">
        <f t="shared" si="58"/>
        <v>1.6133423652167356E-2</v>
      </c>
      <c r="X106" s="160">
        <f t="shared" si="64"/>
        <v>42777.213341670002</v>
      </c>
      <c r="Y106" s="123">
        <f>+X106/'[2]Data Entry'!$C$11</f>
        <v>521.67333343500002</v>
      </c>
      <c r="Z106" s="48">
        <f>+X106/$X$85</f>
        <v>1.6159503040968096E-2</v>
      </c>
      <c r="AB106" s="127"/>
      <c r="AD106" s="127"/>
      <c r="AF106" s="127"/>
      <c r="AH106" s="127"/>
      <c r="AJ106" s="127"/>
    </row>
    <row r="107" spans="2:36">
      <c r="B107" s="117" t="s">
        <v>314</v>
      </c>
      <c r="C107" s="118">
        <v>0</v>
      </c>
      <c r="D107" s="119">
        <f t="shared" si="42"/>
        <v>0</v>
      </c>
      <c r="E107" s="120">
        <f t="shared" si="41"/>
        <v>7755.5</v>
      </c>
      <c r="F107" s="121">
        <f t="shared" si="54"/>
        <v>8.19028141661211E-3</v>
      </c>
      <c r="G107" s="120">
        <f t="shared" si="39"/>
        <v>-7755.5</v>
      </c>
      <c r="H107" s="119"/>
      <c r="I107" s="118">
        <f>SUM(I52/2)</f>
        <v>15511</v>
      </c>
      <c r="J107" s="123">
        <f>+I107/'[2]Data Entry'!$C$11</f>
        <v>189.15853658536585</v>
      </c>
      <c r="K107" s="48">
        <f t="shared" si="44"/>
        <v>8.19028141661211E-3</v>
      </c>
      <c r="L107" s="159">
        <f t="shared" si="60"/>
        <v>15976.33</v>
      </c>
      <c r="M107" s="123">
        <f>+L107/'[2]Data Entry'!$C$11</f>
        <v>194.83329268292684</v>
      </c>
      <c r="N107" s="125">
        <f t="shared" si="55"/>
        <v>7.5655605207945939E-3</v>
      </c>
      <c r="O107" s="160">
        <f t="shared" si="61"/>
        <v>16455.619900000002</v>
      </c>
      <c r="P107" s="123">
        <f>+O107/'[2]Data Entry'!$C$11</f>
        <v>200.67829146341467</v>
      </c>
      <c r="Q107" s="125">
        <f t="shared" si="56"/>
        <v>7.0626332174408722E-3</v>
      </c>
      <c r="R107" s="160">
        <f t="shared" si="62"/>
        <v>16949.288497000001</v>
      </c>
      <c r="S107" s="123">
        <f>+R107/'[2]Data Entry'!$C$11</f>
        <v>206.69864020731708</v>
      </c>
      <c r="T107" s="125">
        <f t="shared" si="57"/>
        <v>6.770578567266327E-3</v>
      </c>
      <c r="U107" s="160">
        <f t="shared" si="63"/>
        <v>17457.76715191</v>
      </c>
      <c r="V107" s="123">
        <f>+U107/'[2]Data Entry'!$C$11</f>
        <v>212.89959941353658</v>
      </c>
      <c r="W107" s="125">
        <f t="shared" si="58"/>
        <v>6.7817217959015678E-3</v>
      </c>
      <c r="X107" s="160">
        <f t="shared" si="64"/>
        <v>17981.5001664673</v>
      </c>
      <c r="Y107" s="123">
        <f>+X107/'[2]Data Entry'!$C$11</f>
        <v>219.28658739594269</v>
      </c>
      <c r="Z107" s="48">
        <f>+X107/$X$85</f>
        <v>6.7926843270584309E-3</v>
      </c>
      <c r="AB107" s="127"/>
      <c r="AD107" s="127"/>
      <c r="AF107" s="127"/>
      <c r="AH107" s="127"/>
      <c r="AJ107" s="127"/>
    </row>
    <row r="108" spans="2:36">
      <c r="B108" s="190" t="s">
        <v>315</v>
      </c>
      <c r="C108" s="118">
        <f>'IS (Combined)'!D55</f>
        <v>15620</v>
      </c>
      <c r="D108" s="119">
        <f t="shared" si="42"/>
        <v>1.7013408722702763E-2</v>
      </c>
      <c r="E108" s="120">
        <f t="shared" si="41"/>
        <v>0</v>
      </c>
      <c r="F108" s="121">
        <f t="shared" si="54"/>
        <v>0</v>
      </c>
      <c r="G108" s="120">
        <f t="shared" si="39"/>
        <v>15620</v>
      </c>
      <c r="H108" s="119"/>
      <c r="I108" s="118"/>
      <c r="J108" s="123">
        <f>+I108/'[2]Data Entry'!$C$11</f>
        <v>0</v>
      </c>
      <c r="K108" s="48">
        <f t="shared" si="44"/>
        <v>0</v>
      </c>
      <c r="L108" s="159">
        <f t="shared" si="60"/>
        <v>0</v>
      </c>
      <c r="M108" s="123">
        <f>+L108/'[2]Data Entry'!$C$11</f>
        <v>0</v>
      </c>
      <c r="N108" s="125">
        <f t="shared" si="55"/>
        <v>0</v>
      </c>
      <c r="O108" s="160">
        <f t="shared" si="61"/>
        <v>0</v>
      </c>
      <c r="P108" s="123">
        <f>+O108/'[2]Data Entry'!$C$11</f>
        <v>0</v>
      </c>
      <c r="Q108" s="125">
        <f t="shared" si="56"/>
        <v>0</v>
      </c>
      <c r="R108" s="160">
        <f t="shared" si="62"/>
        <v>0</v>
      </c>
      <c r="S108" s="123">
        <f>+R108/'[2]Data Entry'!$C$11</f>
        <v>0</v>
      </c>
      <c r="T108" s="125">
        <f t="shared" si="57"/>
        <v>0</v>
      </c>
      <c r="U108" s="160">
        <f t="shared" si="63"/>
        <v>0</v>
      </c>
      <c r="V108" s="123">
        <f>+U108/'[2]Data Entry'!$C$11</f>
        <v>0</v>
      </c>
      <c r="W108" s="125">
        <f t="shared" si="58"/>
        <v>0</v>
      </c>
      <c r="X108" s="160">
        <f t="shared" si="64"/>
        <v>0</v>
      </c>
      <c r="Y108" s="123">
        <f>+X108/'[2]Data Entry'!$C$11</f>
        <v>0</v>
      </c>
      <c r="Z108" s="48">
        <f>+X108/$X$85</f>
        <v>0</v>
      </c>
      <c r="AB108" s="127"/>
      <c r="AD108" s="127"/>
      <c r="AF108" s="127"/>
      <c r="AH108" s="127"/>
      <c r="AJ108" s="127"/>
    </row>
    <row r="109" spans="2:36">
      <c r="B109" s="190" t="s">
        <v>316</v>
      </c>
      <c r="C109" s="118">
        <f>'IS (Combined)'!D51</f>
        <v>2101.94</v>
      </c>
      <c r="D109" s="119">
        <f>+C109/$C$85</f>
        <v>2.28944714024314E-3</v>
      </c>
      <c r="E109" s="120">
        <f t="shared" si="41"/>
        <v>1500</v>
      </c>
      <c r="F109" s="121">
        <f t="shared" si="54"/>
        <v>1.5840915640407667E-3</v>
      </c>
      <c r="G109" s="120">
        <f t="shared" si="39"/>
        <v>601.94000000000005</v>
      </c>
      <c r="H109" s="119"/>
      <c r="I109" s="118">
        <v>3000</v>
      </c>
      <c r="J109" s="123">
        <f>+I109/'[2]Data Entry'!$C$11</f>
        <v>36.585365853658537</v>
      </c>
      <c r="K109" s="48">
        <f t="shared" si="44"/>
        <v>1.5840915640407667E-3</v>
      </c>
      <c r="L109" s="159">
        <f t="shared" si="60"/>
        <v>3090</v>
      </c>
      <c r="M109" s="123">
        <f>+L109/'[2]Data Entry'!$C$11</f>
        <v>37.68292682926829</v>
      </c>
      <c r="N109" s="125">
        <f t="shared" si="55"/>
        <v>1.4632635911536189E-3</v>
      </c>
      <c r="O109" s="160">
        <f t="shared" si="61"/>
        <v>3182.7000000000003</v>
      </c>
      <c r="P109" s="123">
        <f>+O109/'[2]Data Entry'!$C$11</f>
        <v>38.813414634146348</v>
      </c>
      <c r="Q109" s="125">
        <f t="shared" si="56"/>
        <v>1.3659918543177498E-3</v>
      </c>
      <c r="R109" s="160">
        <f t="shared" si="62"/>
        <v>3278.1810000000005</v>
      </c>
      <c r="S109" s="123">
        <f>+R109/'[2]Data Entry'!$C$11</f>
        <v>39.977817073170741</v>
      </c>
      <c r="T109" s="125">
        <f t="shared" si="57"/>
        <v>1.309505235110501E-3</v>
      </c>
      <c r="U109" s="160">
        <f t="shared" si="63"/>
        <v>3376.5264300000008</v>
      </c>
      <c r="V109" s="123">
        <f>+U109/'[2]Data Entry'!$C$11</f>
        <v>41.177151585365863</v>
      </c>
      <c r="W109" s="125">
        <f t="shared" si="58"/>
        <v>1.3116604595258016E-3</v>
      </c>
      <c r="X109" s="160">
        <f t="shared" si="64"/>
        <v>3477.8222229000007</v>
      </c>
      <c r="Y109" s="123">
        <f>+X109/'[2]Data Entry'!$C$11</f>
        <v>42.412466132926838</v>
      </c>
      <c r="Z109" s="48">
        <f>+X109/$X$85</f>
        <v>1.3137807350380567E-3</v>
      </c>
      <c r="AB109" s="127"/>
      <c r="AD109" s="127"/>
      <c r="AF109" s="127"/>
      <c r="AH109" s="127"/>
      <c r="AJ109" s="127"/>
    </row>
    <row r="110" spans="2:36">
      <c r="B110" s="190" t="s">
        <v>317</v>
      </c>
      <c r="C110" s="118">
        <v>0</v>
      </c>
      <c r="D110" s="119">
        <f t="shared" si="42"/>
        <v>0</v>
      </c>
      <c r="E110" s="120">
        <f t="shared" si="41"/>
        <v>1500</v>
      </c>
      <c r="F110" s="121">
        <f t="shared" si="54"/>
        <v>1.5840915640407667E-3</v>
      </c>
      <c r="G110" s="120">
        <f t="shared" si="39"/>
        <v>-1500</v>
      </c>
      <c r="H110" s="119"/>
      <c r="I110" s="118">
        <v>3000</v>
      </c>
      <c r="J110" s="123">
        <f>+I110/'[2]Data Entry'!$C$11</f>
        <v>36.585365853658537</v>
      </c>
      <c r="K110" s="48">
        <f t="shared" si="44"/>
        <v>1.5840915640407667E-3</v>
      </c>
      <c r="L110" s="159">
        <f t="shared" si="60"/>
        <v>3090</v>
      </c>
      <c r="M110" s="123">
        <f>+L110/'[2]Data Entry'!$C$11</f>
        <v>37.68292682926829</v>
      </c>
      <c r="N110" s="125">
        <f t="shared" si="55"/>
        <v>1.4632635911536189E-3</v>
      </c>
      <c r="O110" s="160">
        <f t="shared" si="61"/>
        <v>3182.7000000000003</v>
      </c>
      <c r="P110" s="123">
        <f>+O110/'[2]Data Entry'!$C$11</f>
        <v>38.813414634146348</v>
      </c>
      <c r="Q110" s="125">
        <f t="shared" si="56"/>
        <v>1.3659918543177498E-3</v>
      </c>
      <c r="R110" s="160">
        <f t="shared" si="62"/>
        <v>3278.1810000000005</v>
      </c>
      <c r="S110" s="123">
        <f>+R110/'[2]Data Entry'!$C$11</f>
        <v>39.977817073170741</v>
      </c>
      <c r="T110" s="125">
        <f t="shared" si="57"/>
        <v>1.309505235110501E-3</v>
      </c>
      <c r="U110" s="160">
        <f t="shared" si="63"/>
        <v>3376.5264300000008</v>
      </c>
      <c r="V110" s="123">
        <f>+U110/'[2]Data Entry'!$C$11</f>
        <v>41.177151585365863</v>
      </c>
      <c r="W110" s="125">
        <f t="shared" si="58"/>
        <v>1.3116604595258016E-3</v>
      </c>
      <c r="X110" s="160">
        <f t="shared" si="64"/>
        <v>3477.8222229000007</v>
      </c>
      <c r="Y110" s="123">
        <f>+X110/'[2]Data Entry'!$C$11</f>
        <v>42.412466132926838</v>
      </c>
      <c r="Z110" s="48">
        <f t="shared" si="59"/>
        <v>1.3137807350380567E-3</v>
      </c>
      <c r="AB110" s="127"/>
      <c r="AD110" s="127"/>
      <c r="AF110" s="127"/>
      <c r="AH110" s="127"/>
      <c r="AJ110" s="127"/>
    </row>
    <row r="111" spans="2:36">
      <c r="B111" s="190" t="s">
        <v>318</v>
      </c>
      <c r="C111" s="118">
        <v>0</v>
      </c>
      <c r="D111" s="119">
        <f t="shared" si="42"/>
        <v>0</v>
      </c>
      <c r="E111" s="120">
        <f t="shared" si="41"/>
        <v>5125</v>
      </c>
      <c r="F111" s="121">
        <f t="shared" si="54"/>
        <v>5.4123128438059529E-3</v>
      </c>
      <c r="G111" s="120">
        <f t="shared" si="39"/>
        <v>-5125</v>
      </c>
      <c r="H111" s="119"/>
      <c r="I111" s="118">
        <v>10250</v>
      </c>
      <c r="J111" s="123">
        <f>+I111/'[2]Data Entry'!$C$11</f>
        <v>125</v>
      </c>
      <c r="K111" s="48">
        <f t="shared" si="44"/>
        <v>5.4123128438059529E-3</v>
      </c>
      <c r="L111" s="159">
        <f t="shared" si="60"/>
        <v>10557.5</v>
      </c>
      <c r="M111" s="123">
        <f>+L111/'[2]Data Entry'!$C$11</f>
        <v>128.75</v>
      </c>
      <c r="N111" s="125">
        <f t="shared" si="55"/>
        <v>4.999483936441531E-3</v>
      </c>
      <c r="O111" s="160">
        <f t="shared" si="61"/>
        <v>10874.225</v>
      </c>
      <c r="P111" s="123">
        <f>+O111/'[2]Data Entry'!$C$11</f>
        <v>132.61250000000001</v>
      </c>
      <c r="Q111" s="125">
        <f t="shared" si="56"/>
        <v>4.6671388355856444E-3</v>
      </c>
      <c r="R111" s="160">
        <f t="shared" si="62"/>
        <v>11200.45175</v>
      </c>
      <c r="S111" s="123">
        <f>+R111/'[2]Data Entry'!$C$11</f>
        <v>136.59087500000001</v>
      </c>
      <c r="T111" s="125">
        <f t="shared" si="57"/>
        <v>4.4741428866275443E-3</v>
      </c>
      <c r="U111" s="160">
        <f t="shared" si="63"/>
        <v>11536.465302500001</v>
      </c>
      <c r="V111" s="123">
        <f>+U111/'[2]Data Entry'!$C$11</f>
        <v>140.68860125</v>
      </c>
      <c r="W111" s="125">
        <f t="shared" si="58"/>
        <v>4.481506570046488E-3</v>
      </c>
      <c r="X111" s="160">
        <f t="shared" si="64"/>
        <v>11882.559261575001</v>
      </c>
      <c r="Y111" s="123">
        <f>+X111/'[2]Data Entry'!$C$11</f>
        <v>144.90925928750002</v>
      </c>
      <c r="Z111" s="48">
        <f t="shared" si="59"/>
        <v>4.4887508447133597E-3</v>
      </c>
      <c r="AB111" s="127"/>
      <c r="AD111" s="127"/>
      <c r="AF111" s="127"/>
      <c r="AH111" s="127"/>
      <c r="AJ111" s="127"/>
    </row>
    <row r="112" spans="2:36">
      <c r="B112" s="180" t="s">
        <v>319</v>
      </c>
      <c r="C112" s="181"/>
      <c r="D112" s="182"/>
      <c r="E112" s="120">
        <f t="shared" si="41"/>
        <v>0</v>
      </c>
      <c r="F112" s="184"/>
      <c r="G112" s="120">
        <f t="shared" si="39"/>
        <v>0</v>
      </c>
      <c r="H112" s="182"/>
      <c r="I112" s="181"/>
      <c r="J112" s="185"/>
      <c r="K112" s="186"/>
      <c r="L112" s="181"/>
      <c r="M112" s="185"/>
      <c r="N112" s="187"/>
      <c r="O112" s="188"/>
      <c r="P112" s="185"/>
      <c r="Q112" s="187"/>
      <c r="R112" s="188"/>
      <c r="S112" s="185"/>
      <c r="T112" s="187"/>
      <c r="U112" s="188"/>
      <c r="V112" s="185"/>
      <c r="W112" s="187"/>
      <c r="X112" s="188"/>
      <c r="Y112" s="185"/>
      <c r="Z112" s="186"/>
      <c r="AB112" s="127"/>
      <c r="AD112" s="127"/>
      <c r="AF112" s="127"/>
      <c r="AH112" s="127"/>
      <c r="AJ112" s="127"/>
    </row>
    <row r="113" spans="2:41">
      <c r="B113" s="129" t="s">
        <v>320</v>
      </c>
      <c r="C113" s="118">
        <f>'IS (Combined)'!D43</f>
        <v>1094.3</v>
      </c>
      <c r="D113" s="119">
        <f t="shared" si="42"/>
        <v>1.191918896623152E-3</v>
      </c>
      <c r="E113" s="120">
        <f t="shared" si="41"/>
        <v>600</v>
      </c>
      <c r="F113" s="121">
        <f t="shared" si="54"/>
        <v>6.3363662561630673E-4</v>
      </c>
      <c r="G113" s="120">
        <f t="shared" si="39"/>
        <v>494.29999999999995</v>
      </c>
      <c r="H113" s="119"/>
      <c r="I113" s="118">
        <v>1200</v>
      </c>
      <c r="J113" s="123">
        <f>+I113/'[2]Data Entry'!$C$11</f>
        <v>14.634146341463415</v>
      </c>
      <c r="K113" s="48">
        <f t="shared" si="44"/>
        <v>6.3363662561630673E-4</v>
      </c>
      <c r="L113" s="159">
        <f>(1+$L$9)*+I113</f>
        <v>1236</v>
      </c>
      <c r="M113" s="123">
        <f>+L113/'[2]Data Entry'!$C$11</f>
        <v>15.073170731707316</v>
      </c>
      <c r="N113" s="125">
        <f t="shared" si="55"/>
        <v>5.8530543646144754E-4</v>
      </c>
      <c r="O113" s="160">
        <f>(1+$L$9)*+L113</f>
        <v>1273.08</v>
      </c>
      <c r="P113" s="123">
        <f>+O113/'[2]Data Entry'!$C$11</f>
        <v>15.525365853658535</v>
      </c>
      <c r="Q113" s="125">
        <f t="shared" si="56"/>
        <v>5.4639674172709987E-4</v>
      </c>
      <c r="R113" s="160">
        <f>(1+$L$9)*+O113</f>
        <v>1311.2724000000001</v>
      </c>
      <c r="S113" s="123">
        <f>+R113/'[2]Data Entry'!$C$11</f>
        <v>15.991126829268293</v>
      </c>
      <c r="T113" s="125">
        <f t="shared" si="57"/>
        <v>5.2380209404420035E-4</v>
      </c>
      <c r="U113" s="160">
        <f>(1+$L$9)*+R113</f>
        <v>1350.610572</v>
      </c>
      <c r="V113" s="123">
        <f>+U113/'[2]Data Entry'!$C$11</f>
        <v>16.470860634146341</v>
      </c>
      <c r="W113" s="125">
        <f t="shared" si="58"/>
        <v>5.2466418381032058E-4</v>
      </c>
      <c r="X113" s="160">
        <f>(1+$L$9)*+U113</f>
        <v>1391.12888916</v>
      </c>
      <c r="Y113" s="123">
        <f>+X113/'[2]Data Entry'!$C$11</f>
        <v>16.964986453170731</v>
      </c>
      <c r="Z113" s="48">
        <f t="shared" si="59"/>
        <v>5.2551229401522255E-4</v>
      </c>
      <c r="AB113" s="127"/>
      <c r="AD113" s="127"/>
      <c r="AF113" s="127"/>
      <c r="AH113" s="127"/>
      <c r="AJ113" s="127"/>
    </row>
    <row r="114" spans="2:41">
      <c r="B114" s="129" t="s">
        <v>321</v>
      </c>
      <c r="C114" s="118">
        <v>0</v>
      </c>
      <c r="D114" s="119">
        <f t="shared" si="42"/>
        <v>0</v>
      </c>
      <c r="E114" s="120">
        <f t="shared" si="41"/>
        <v>32</v>
      </c>
      <c r="F114" s="121">
        <f t="shared" si="54"/>
        <v>3.3793953366203026E-5</v>
      </c>
      <c r="G114" s="120">
        <f t="shared" si="39"/>
        <v>-32</v>
      </c>
      <c r="H114" s="119"/>
      <c r="I114" s="118">
        <v>64</v>
      </c>
      <c r="J114" s="123">
        <f>+I114/'[2]Data Entry'!$C$11</f>
        <v>0.78048780487804881</v>
      </c>
      <c r="K114" s="48">
        <f t="shared" si="44"/>
        <v>3.3793953366203026E-5</v>
      </c>
      <c r="L114" s="159">
        <f>(1+$L$9)*+I114</f>
        <v>65.92</v>
      </c>
      <c r="M114" s="123">
        <f>+L114/'[2]Data Entry'!$C$11</f>
        <v>0.80390243902439029</v>
      </c>
      <c r="N114" s="125">
        <f t="shared" si="55"/>
        <v>3.1216289944610538E-5</v>
      </c>
      <c r="O114" s="160">
        <f>(1+$L$9)*+L114</f>
        <v>67.897599999999997</v>
      </c>
      <c r="P114" s="123">
        <f>+O114/'[2]Data Entry'!$C$11</f>
        <v>0.82801951219512193</v>
      </c>
      <c r="Q114" s="125">
        <f t="shared" si="56"/>
        <v>2.9141159558778659E-5</v>
      </c>
      <c r="R114" s="160">
        <f>(1+$L$9)*+O114</f>
        <v>69.934528</v>
      </c>
      <c r="S114" s="123">
        <f>+R114/'[2]Data Entry'!$C$11</f>
        <v>0.85286009756097558</v>
      </c>
      <c r="T114" s="125">
        <f t="shared" si="57"/>
        <v>2.7936111682357354E-5</v>
      </c>
      <c r="U114" s="160">
        <f>(1+$L$9)*+R114</f>
        <v>72.032563840000009</v>
      </c>
      <c r="V114" s="123">
        <f>+U114/'[2]Data Entry'!$C$11</f>
        <v>0.87844590048780502</v>
      </c>
      <c r="W114" s="125">
        <f t="shared" si="58"/>
        <v>2.7982089803217099E-5</v>
      </c>
      <c r="X114" s="160">
        <f>(1+$L$9)*+U114</f>
        <v>74.193540755200004</v>
      </c>
      <c r="Y114" s="123">
        <f>+X114/'[2]Data Entry'!$C$11</f>
        <v>0.90479927750243905</v>
      </c>
      <c r="Z114" s="48">
        <f t="shared" si="59"/>
        <v>2.8027322347478541E-5</v>
      </c>
      <c r="AB114" s="127"/>
      <c r="AD114" s="127"/>
      <c r="AF114" s="127"/>
      <c r="AH114" s="127"/>
      <c r="AJ114" s="127"/>
    </row>
    <row r="115" spans="2:41">
      <c r="B115" s="129" t="s">
        <v>322</v>
      </c>
      <c r="C115" s="118">
        <f>'IS (Combined)'!D80</f>
        <v>114345.58</v>
      </c>
      <c r="D115" s="119">
        <f t="shared" si="42"/>
        <v>0.12454597235432181</v>
      </c>
      <c r="E115" s="120">
        <f t="shared" si="41"/>
        <v>57172.79</v>
      </c>
      <c r="F115" s="121">
        <f t="shared" si="54"/>
        <v>6.0377956221116205E-2</v>
      </c>
      <c r="G115" s="120">
        <f t="shared" si="39"/>
        <v>57172.79</v>
      </c>
      <c r="H115" s="119"/>
      <c r="I115" s="118">
        <f>C115</f>
        <v>114345.58</v>
      </c>
      <c r="J115" s="123">
        <f>+I115/'[2]Data Entry'!$C$11</f>
        <v>1394.4582926829269</v>
      </c>
      <c r="K115" s="48">
        <f t="shared" si="44"/>
        <v>6.0377956221116205E-2</v>
      </c>
      <c r="L115" s="191">
        <f>(1+$L$9)*+I115</f>
        <v>117775.9474</v>
      </c>
      <c r="M115" s="123">
        <f>+L115/'[2]Data Entry'!$C$11</f>
        <v>1436.2920414634148</v>
      </c>
      <c r="N115" s="125">
        <f t="shared" si="55"/>
        <v>5.5772574674447808E-2</v>
      </c>
      <c r="O115" s="160">
        <f>(1+$L$9)*+L115</f>
        <v>121309.22582200001</v>
      </c>
      <c r="P115" s="123">
        <f>+O115/'[2]Data Entry'!$C$11</f>
        <v>1479.3808027073171</v>
      </c>
      <c r="Q115" s="125">
        <f t="shared" si="56"/>
        <v>5.2065043619079536E-2</v>
      </c>
      <c r="R115" s="160">
        <f>(1+$L$9)*+O115</f>
        <v>124948.50259666001</v>
      </c>
      <c r="S115" s="123">
        <f>+R115/'[2]Data Entry'!$C$11</f>
        <v>1523.7622267885367</v>
      </c>
      <c r="T115" s="125">
        <f t="shared" si="57"/>
        <v>4.9912045207248866E-2</v>
      </c>
      <c r="U115" s="160">
        <f>(1+$L$9)*+R115</f>
        <v>128696.95767455982</v>
      </c>
      <c r="V115" s="123">
        <f>+U115/'[2]Data Entry'!$C$11</f>
        <v>1569.4750935921929</v>
      </c>
      <c r="W115" s="125">
        <f t="shared" si="58"/>
        <v>4.9994192002514766E-2</v>
      </c>
      <c r="X115" s="160">
        <f>(1+$L$9)*+U115</f>
        <v>132557.8664047966</v>
      </c>
      <c r="Y115" s="123">
        <f>+X115/'[2]Data Entry'!$C$11</f>
        <v>1616.5593463999585</v>
      </c>
      <c r="Z115" s="48">
        <f t="shared" si="59"/>
        <v>5.0075006713584301E-2</v>
      </c>
      <c r="AB115" s="127"/>
      <c r="AD115" s="127"/>
      <c r="AF115" s="127"/>
      <c r="AH115" s="127"/>
      <c r="AJ115" s="127"/>
    </row>
    <row r="116" spans="2:41" ht="24" customHeight="1">
      <c r="B116" s="129" t="s">
        <v>323</v>
      </c>
      <c r="C116" s="118"/>
      <c r="D116" s="119">
        <f t="shared" si="42"/>
        <v>0</v>
      </c>
      <c r="E116" s="120">
        <f t="shared" si="41"/>
        <v>64105.71</v>
      </c>
      <c r="F116" s="121">
        <f t="shared" si="54"/>
        <v>6.7699542945229216E-2</v>
      </c>
      <c r="G116" s="120">
        <f t="shared" si="39"/>
        <v>-64105.71</v>
      </c>
      <c r="H116" s="119"/>
      <c r="I116" s="118">
        <f>'[2]Admin - Payroll - RE Taxes'!H21-I115</f>
        <v>128211.42</v>
      </c>
      <c r="J116" s="123">
        <f>+I116/'[2]Data Entry'!$C$11</f>
        <v>1563.5539024390243</v>
      </c>
      <c r="K116" s="48">
        <f t="shared" si="44"/>
        <v>6.7699542945229216E-2</v>
      </c>
      <c r="L116" s="191">
        <v>34020</v>
      </c>
      <c r="M116" s="123">
        <f>+L116/'[2]Data Entry'!$C$11</f>
        <v>414.8780487804878</v>
      </c>
      <c r="N116" s="125">
        <f t="shared" si="55"/>
        <v>1.6110105945322369E-2</v>
      </c>
      <c r="O116" s="160">
        <f>(1+$L$9)*+I116</f>
        <v>132057.76259999999</v>
      </c>
      <c r="P116" s="123">
        <f>+O116/'[2]Data Entry'!$C$11</f>
        <v>1610.4605195121949</v>
      </c>
      <c r="Q116" s="125">
        <f t="shared" si="56"/>
        <v>5.6678237977511911E-2</v>
      </c>
      <c r="R116" s="160">
        <f>(1+$L$9)*+O116</f>
        <v>136019.495478</v>
      </c>
      <c r="S116" s="123">
        <f>+R116/'[2]Data Entry'!$C$11</f>
        <v>1658.7743350975609</v>
      </c>
      <c r="T116" s="125">
        <f t="shared" si="57"/>
        <v>5.4334474333641157E-2</v>
      </c>
      <c r="U116" s="160">
        <f>(1+$L$9)*+R116</f>
        <v>140100.08034233999</v>
      </c>
      <c r="V116" s="123">
        <f>+U116/'[2]Data Entry'!$C$11</f>
        <v>1708.5375651504878</v>
      </c>
      <c r="W116" s="125">
        <f t="shared" si="58"/>
        <v>5.4423899700212136E-2</v>
      </c>
      <c r="X116" s="160">
        <f>(1+$L$9)*+U116</f>
        <v>144303.08275261021</v>
      </c>
      <c r="Y116" s="123">
        <f>+X116/'[2]Data Entry'!$C$11</f>
        <v>1759.7936921050025</v>
      </c>
      <c r="Z116" s="48">
        <f t="shared" si="59"/>
        <v>5.4511874954004204E-2</v>
      </c>
      <c r="AB116" s="127"/>
      <c r="AD116" s="127"/>
      <c r="AF116" s="127"/>
      <c r="AH116" s="127"/>
      <c r="AJ116" s="127"/>
    </row>
    <row r="117" spans="2:41">
      <c r="B117" s="129" t="s">
        <v>324</v>
      </c>
      <c r="C117" s="118">
        <v>0</v>
      </c>
      <c r="D117" s="119">
        <f>+C117/$C$85</f>
        <v>0</v>
      </c>
      <c r="E117" s="120">
        <f t="shared" si="41"/>
        <v>0</v>
      </c>
      <c r="F117" s="121">
        <f t="shared" si="54"/>
        <v>0</v>
      </c>
      <c r="G117" s="120">
        <f t="shared" si="39"/>
        <v>0</v>
      </c>
      <c r="H117" s="119"/>
      <c r="I117" s="118">
        <v>0</v>
      </c>
      <c r="J117" s="123">
        <f>+I117/'[2]Data Entry'!$C$11</f>
        <v>0</v>
      </c>
      <c r="K117" s="48">
        <f t="shared" si="44"/>
        <v>0</v>
      </c>
      <c r="L117" s="159">
        <f>(1+$L$9)*+I117</f>
        <v>0</v>
      </c>
      <c r="M117" s="123">
        <f>+L117/'[2]Data Entry'!$C$11</f>
        <v>0</v>
      </c>
      <c r="N117" s="125">
        <f t="shared" si="55"/>
        <v>0</v>
      </c>
      <c r="O117" s="160">
        <f>(1+$L$9)*+L117</f>
        <v>0</v>
      </c>
      <c r="P117" s="123">
        <f>+O117/'[2]Data Entry'!$C$11</f>
        <v>0</v>
      </c>
      <c r="Q117" s="125">
        <f t="shared" si="56"/>
        <v>0</v>
      </c>
      <c r="R117" s="160">
        <f>(1+$L$9)*+O117</f>
        <v>0</v>
      </c>
      <c r="S117" s="123">
        <f>+R117/'[2]Data Entry'!$C$11</f>
        <v>0</v>
      </c>
      <c r="T117" s="125">
        <f t="shared" si="57"/>
        <v>0</v>
      </c>
      <c r="U117" s="160">
        <f>(1+$L$9)*+R117</f>
        <v>0</v>
      </c>
      <c r="V117" s="123">
        <f>+U117/'[2]Data Entry'!$C$11</f>
        <v>0</v>
      </c>
      <c r="W117" s="125">
        <f t="shared" si="58"/>
        <v>0</v>
      </c>
      <c r="X117" s="160">
        <f>(1+$L$9)*+U117</f>
        <v>0</v>
      </c>
      <c r="Y117" s="123">
        <f>+X117/'[2]Data Entry'!$C$11</f>
        <v>0</v>
      </c>
      <c r="Z117" s="48">
        <f t="shared" si="59"/>
        <v>0</v>
      </c>
      <c r="AB117" s="127"/>
      <c r="AD117" s="127"/>
      <c r="AF117" s="127"/>
      <c r="AH117" s="127"/>
      <c r="AJ117" s="127"/>
    </row>
    <row r="118" spans="2:41">
      <c r="B118" s="180" t="s">
        <v>325</v>
      </c>
      <c r="C118" s="181"/>
      <c r="D118" s="182"/>
      <c r="E118" s="120">
        <f t="shared" si="41"/>
        <v>0</v>
      </c>
      <c r="F118" s="184"/>
      <c r="G118" s="120">
        <f t="shared" si="39"/>
        <v>0</v>
      </c>
      <c r="H118" s="182"/>
      <c r="I118" s="181"/>
      <c r="J118" s="185"/>
      <c r="K118" s="186"/>
      <c r="L118" s="181"/>
      <c r="M118" s="185"/>
      <c r="N118" s="187"/>
      <c r="O118" s="188"/>
      <c r="P118" s="185"/>
      <c r="Q118" s="187"/>
      <c r="R118" s="188"/>
      <c r="S118" s="185"/>
      <c r="T118" s="187"/>
      <c r="U118" s="188"/>
      <c r="V118" s="185"/>
      <c r="W118" s="187"/>
      <c r="X118" s="188"/>
      <c r="Y118" s="185"/>
      <c r="Z118" s="186"/>
      <c r="AB118" s="127"/>
      <c r="AD118" s="127"/>
      <c r="AF118" s="127"/>
      <c r="AH118" s="127"/>
      <c r="AJ118" s="127"/>
    </row>
    <row r="119" spans="2:41">
      <c r="B119" s="129" t="s">
        <v>326</v>
      </c>
      <c r="C119" s="118">
        <v>0</v>
      </c>
      <c r="D119" s="119">
        <f t="shared" si="42"/>
        <v>0</v>
      </c>
      <c r="E119" s="120">
        <f t="shared" si="41"/>
        <v>1570</v>
      </c>
      <c r="F119" s="121">
        <f t="shared" si="54"/>
        <v>1.6580158370293359E-3</v>
      </c>
      <c r="G119" s="120">
        <f t="shared" si="39"/>
        <v>-1570</v>
      </c>
      <c r="H119" s="119"/>
      <c r="I119" s="118">
        <v>3140</v>
      </c>
      <c r="J119" s="123">
        <f>+I119/'[2]Data Entry'!$C$11</f>
        <v>38.292682926829265</v>
      </c>
      <c r="K119" s="48">
        <f t="shared" si="44"/>
        <v>1.6580158370293359E-3</v>
      </c>
      <c r="L119" s="159">
        <f t="shared" ref="L119:L125" si="65">(1+$L$9)*+I119</f>
        <v>3234.2000000000003</v>
      </c>
      <c r="M119" s="123">
        <f>+L119/'[2]Data Entry'!$C$11</f>
        <v>39.44146341463415</v>
      </c>
      <c r="N119" s="125">
        <f t="shared" si="55"/>
        <v>1.5315492254074545E-3</v>
      </c>
      <c r="O119" s="160">
        <f t="shared" ref="O119:O125" si="66">(1+$L$9)*+L119</f>
        <v>3331.2260000000006</v>
      </c>
      <c r="P119" s="123">
        <f>+O119/'[2]Data Entry'!$C$11</f>
        <v>40.624707317073181</v>
      </c>
      <c r="Q119" s="125">
        <f t="shared" si="56"/>
        <v>1.4297381408525781E-3</v>
      </c>
      <c r="R119" s="160">
        <f t="shared" ref="R119:R125" si="67">(1+$L$9)*+O119</f>
        <v>3431.1627800000006</v>
      </c>
      <c r="S119" s="123">
        <f>+R119/'[2]Data Entry'!$C$11</f>
        <v>41.84344853658537</v>
      </c>
      <c r="T119" s="125">
        <f t="shared" si="57"/>
        <v>1.3706154794156577E-3</v>
      </c>
      <c r="U119" s="160">
        <f t="shared" ref="U119:U125" si="68">(1+$L$9)*+R119</f>
        <v>3534.0976634000008</v>
      </c>
      <c r="V119" s="123">
        <f>+U119/'[2]Data Entry'!$C$11</f>
        <v>43.098751992682935</v>
      </c>
      <c r="W119" s="125">
        <f t="shared" si="58"/>
        <v>1.3728712809703389E-3</v>
      </c>
      <c r="X119" s="160">
        <f t="shared" ref="X119:X125" si="69">(1+$L$9)*+U119</f>
        <v>3640.120593302001</v>
      </c>
      <c r="Y119" s="123">
        <f>+X119/'[2]Data Entry'!$C$11</f>
        <v>44.391714552463426</v>
      </c>
      <c r="Z119" s="48">
        <f t="shared" si="59"/>
        <v>1.3750905026731661E-3</v>
      </c>
      <c r="AB119" s="127"/>
      <c r="AD119" s="127"/>
      <c r="AF119" s="127"/>
      <c r="AH119" s="127"/>
      <c r="AJ119" s="127"/>
    </row>
    <row r="120" spans="2:41">
      <c r="B120" s="129" t="s">
        <v>327</v>
      </c>
      <c r="C120" s="118">
        <f>'IS (Combined)'!D68</f>
        <v>33763.160000000003</v>
      </c>
      <c r="D120" s="119">
        <f t="shared" si="42"/>
        <v>3.6775060233675362E-2</v>
      </c>
      <c r="E120" s="120">
        <f t="shared" si="41"/>
        <v>6784.5</v>
      </c>
      <c r="F120" s="121">
        <f t="shared" si="54"/>
        <v>7.1648461441563881E-3</v>
      </c>
      <c r="G120" s="120">
        <f t="shared" si="39"/>
        <v>26978.660000000003</v>
      </c>
      <c r="H120" s="119"/>
      <c r="I120" s="118">
        <v>13569</v>
      </c>
      <c r="J120" s="123">
        <f>+I120/'[2]Data Entry'!$C$11</f>
        <v>165.47560975609755</v>
      </c>
      <c r="K120" s="48">
        <f t="shared" si="44"/>
        <v>7.1648461441563881E-3</v>
      </c>
      <c r="L120" s="159">
        <f t="shared" si="65"/>
        <v>13976.07</v>
      </c>
      <c r="M120" s="123">
        <f>+L120/'[2]Data Entry'!$C$11</f>
        <v>170.43987804878049</v>
      </c>
      <c r="N120" s="125">
        <f t="shared" si="55"/>
        <v>6.6183412227878184E-3</v>
      </c>
      <c r="O120" s="160">
        <f t="shared" si="66"/>
        <v>14395.3521</v>
      </c>
      <c r="P120" s="123">
        <f>+O120/'[2]Data Entry'!$C$11</f>
        <v>175.55307439024389</v>
      </c>
      <c r="Q120" s="125">
        <f t="shared" si="56"/>
        <v>6.1783811570791814E-3</v>
      </c>
      <c r="R120" s="160">
        <f t="shared" si="67"/>
        <v>14827.212663</v>
      </c>
      <c r="S120" s="123">
        <f>+R120/'[2]Data Entry'!$C$11</f>
        <v>180.81966662195123</v>
      </c>
      <c r="T120" s="125">
        <f t="shared" si="57"/>
        <v>5.9228921784047952E-3</v>
      </c>
      <c r="U120" s="160">
        <f t="shared" si="68"/>
        <v>15272.029042890001</v>
      </c>
      <c r="V120" s="123">
        <f>+U120/'[2]Data Entry'!$C$11</f>
        <v>186.24425662060978</v>
      </c>
      <c r="W120" s="125">
        <f t="shared" si="58"/>
        <v>5.9326402584351998E-3</v>
      </c>
      <c r="X120" s="160">
        <f t="shared" si="69"/>
        <v>15730.189914176701</v>
      </c>
      <c r="Y120" s="123">
        <f>+X120/'[2]Data Entry'!$C$11</f>
        <v>191.83158431922806</v>
      </c>
      <c r="Z120" s="48">
        <f t="shared" si="59"/>
        <v>5.9422302645771299E-3</v>
      </c>
      <c r="AB120" s="127"/>
      <c r="AD120" s="127"/>
      <c r="AF120" s="127"/>
      <c r="AH120" s="127"/>
      <c r="AJ120" s="127"/>
    </row>
    <row r="121" spans="2:41">
      <c r="B121" s="129" t="s">
        <v>328</v>
      </c>
      <c r="C121" s="118">
        <v>0</v>
      </c>
      <c r="D121" s="119">
        <f t="shared" si="42"/>
        <v>0</v>
      </c>
      <c r="E121" s="120">
        <f t="shared" si="41"/>
        <v>0</v>
      </c>
      <c r="F121" s="121">
        <f t="shared" si="54"/>
        <v>0</v>
      </c>
      <c r="G121" s="120">
        <f t="shared" si="39"/>
        <v>0</v>
      </c>
      <c r="H121" s="119"/>
      <c r="I121" s="118">
        <v>0</v>
      </c>
      <c r="J121" s="123">
        <f>+I121/'[2]Data Entry'!$C$11</f>
        <v>0</v>
      </c>
      <c r="K121" s="48">
        <f t="shared" si="44"/>
        <v>0</v>
      </c>
      <c r="L121" s="159">
        <f t="shared" si="65"/>
        <v>0</v>
      </c>
      <c r="M121" s="123">
        <f>+L121/'[2]Data Entry'!$C$11</f>
        <v>0</v>
      </c>
      <c r="N121" s="125">
        <f t="shared" si="55"/>
        <v>0</v>
      </c>
      <c r="O121" s="160">
        <f t="shared" si="66"/>
        <v>0</v>
      </c>
      <c r="P121" s="123">
        <f>+O121/'[2]Data Entry'!$C$11</f>
        <v>0</v>
      </c>
      <c r="Q121" s="125">
        <f t="shared" si="56"/>
        <v>0</v>
      </c>
      <c r="R121" s="160">
        <f t="shared" si="67"/>
        <v>0</v>
      </c>
      <c r="S121" s="123">
        <f>+R121/'[2]Data Entry'!$C$11</f>
        <v>0</v>
      </c>
      <c r="T121" s="125">
        <f t="shared" si="57"/>
        <v>0</v>
      </c>
      <c r="U121" s="160">
        <f t="shared" si="68"/>
        <v>0</v>
      </c>
      <c r="V121" s="123">
        <f>+U121/'[2]Data Entry'!$C$11</f>
        <v>0</v>
      </c>
      <c r="W121" s="125">
        <f t="shared" si="58"/>
        <v>0</v>
      </c>
      <c r="X121" s="160">
        <f t="shared" si="69"/>
        <v>0</v>
      </c>
      <c r="Y121" s="123">
        <f>+X121/'[2]Data Entry'!$C$11</f>
        <v>0</v>
      </c>
      <c r="Z121" s="48">
        <f t="shared" si="59"/>
        <v>0</v>
      </c>
      <c r="AB121" s="127"/>
      <c r="AD121" s="127"/>
      <c r="AF121" s="127"/>
      <c r="AH121" s="127"/>
      <c r="AJ121" s="127"/>
    </row>
    <row r="122" spans="2:41">
      <c r="B122" s="129" t="s">
        <v>329</v>
      </c>
      <c r="C122" s="118">
        <v>0</v>
      </c>
      <c r="D122" s="119">
        <f t="shared" si="42"/>
        <v>0</v>
      </c>
      <c r="E122" s="120">
        <f t="shared" si="41"/>
        <v>0</v>
      </c>
      <c r="F122" s="121">
        <f t="shared" si="54"/>
        <v>0</v>
      </c>
      <c r="G122" s="120">
        <f t="shared" si="39"/>
        <v>0</v>
      </c>
      <c r="H122" s="119"/>
      <c r="I122" s="118">
        <v>0</v>
      </c>
      <c r="J122" s="123">
        <f>+I122/'[2]Data Entry'!$C$11</f>
        <v>0</v>
      </c>
      <c r="K122" s="48">
        <f t="shared" si="44"/>
        <v>0</v>
      </c>
      <c r="L122" s="159">
        <f t="shared" si="65"/>
        <v>0</v>
      </c>
      <c r="M122" s="123">
        <f>+L122/'[2]Data Entry'!$C$11</f>
        <v>0</v>
      </c>
      <c r="N122" s="125">
        <f t="shared" si="55"/>
        <v>0</v>
      </c>
      <c r="O122" s="160">
        <f t="shared" si="66"/>
        <v>0</v>
      </c>
      <c r="P122" s="123">
        <f>+O122/'[2]Data Entry'!$C$11</f>
        <v>0</v>
      </c>
      <c r="Q122" s="125">
        <f t="shared" si="56"/>
        <v>0</v>
      </c>
      <c r="R122" s="160">
        <f t="shared" si="67"/>
        <v>0</v>
      </c>
      <c r="S122" s="123">
        <f>+R122/'[2]Data Entry'!$C$11</f>
        <v>0</v>
      </c>
      <c r="T122" s="125">
        <f t="shared" si="57"/>
        <v>0</v>
      </c>
      <c r="U122" s="160">
        <f t="shared" si="68"/>
        <v>0</v>
      </c>
      <c r="V122" s="123">
        <f>+U122/'[2]Data Entry'!$C$11</f>
        <v>0</v>
      </c>
      <c r="W122" s="125">
        <f t="shared" si="58"/>
        <v>0</v>
      </c>
      <c r="X122" s="160">
        <f t="shared" si="69"/>
        <v>0</v>
      </c>
      <c r="Y122" s="123">
        <f>+X122/'[2]Data Entry'!$C$11</f>
        <v>0</v>
      </c>
      <c r="Z122" s="48">
        <f t="shared" si="59"/>
        <v>0</v>
      </c>
      <c r="AB122" s="127"/>
      <c r="AD122" s="127"/>
      <c r="AF122" s="127"/>
      <c r="AH122" s="127"/>
      <c r="AJ122" s="127"/>
    </row>
    <row r="123" spans="2:41">
      <c r="B123" s="129" t="s">
        <v>330</v>
      </c>
      <c r="C123" s="118">
        <v>0</v>
      </c>
      <c r="D123" s="119">
        <f t="shared" si="42"/>
        <v>0</v>
      </c>
      <c r="E123" s="120">
        <f t="shared" si="41"/>
        <v>0</v>
      </c>
      <c r="F123" s="121">
        <f t="shared" si="54"/>
        <v>0</v>
      </c>
      <c r="G123" s="120">
        <f t="shared" si="39"/>
        <v>0</v>
      </c>
      <c r="H123" s="119"/>
      <c r="I123" s="118">
        <v>0</v>
      </c>
      <c r="J123" s="123">
        <f>+I123/'[2]Data Entry'!$C$11</f>
        <v>0</v>
      </c>
      <c r="K123" s="48">
        <f t="shared" si="44"/>
        <v>0</v>
      </c>
      <c r="L123" s="159">
        <f t="shared" si="65"/>
        <v>0</v>
      </c>
      <c r="M123" s="123">
        <f>+L123/'[2]Data Entry'!$C$11</f>
        <v>0</v>
      </c>
      <c r="N123" s="125">
        <f t="shared" si="55"/>
        <v>0</v>
      </c>
      <c r="O123" s="160">
        <f t="shared" si="66"/>
        <v>0</v>
      </c>
      <c r="P123" s="123">
        <f>+O123/'[2]Data Entry'!$C$11</f>
        <v>0</v>
      </c>
      <c r="Q123" s="125">
        <f t="shared" si="56"/>
        <v>0</v>
      </c>
      <c r="R123" s="160">
        <f t="shared" si="67"/>
        <v>0</v>
      </c>
      <c r="S123" s="123">
        <f>+R123/'[2]Data Entry'!$C$11</f>
        <v>0</v>
      </c>
      <c r="T123" s="125">
        <f t="shared" si="57"/>
        <v>0</v>
      </c>
      <c r="U123" s="160">
        <f t="shared" si="68"/>
        <v>0</v>
      </c>
      <c r="V123" s="123">
        <f>+U123/'[2]Data Entry'!$C$11</f>
        <v>0</v>
      </c>
      <c r="W123" s="125">
        <f t="shared" si="58"/>
        <v>0</v>
      </c>
      <c r="X123" s="160">
        <f t="shared" si="69"/>
        <v>0</v>
      </c>
      <c r="Y123" s="123">
        <f>+X123/'[2]Data Entry'!$C$11</f>
        <v>0</v>
      </c>
      <c r="Z123" s="48">
        <f t="shared" si="59"/>
        <v>0</v>
      </c>
      <c r="AB123" s="127"/>
      <c r="AD123" s="127"/>
      <c r="AF123" s="127"/>
      <c r="AH123" s="127"/>
      <c r="AJ123" s="127"/>
    </row>
    <row r="124" spans="2:41">
      <c r="B124" s="129" t="s">
        <v>331</v>
      </c>
      <c r="C124" s="118">
        <f>'IS (Combined)'!D69</f>
        <v>19854.650000000001</v>
      </c>
      <c r="D124" s="119">
        <f t="shared" si="42"/>
        <v>2.1625817893483383E-2</v>
      </c>
      <c r="E124" s="120">
        <f t="shared" si="41"/>
        <v>39417.5</v>
      </c>
      <c r="F124" s="121">
        <f t="shared" si="54"/>
        <v>4.1627286150384614E-2</v>
      </c>
      <c r="G124" s="120">
        <f t="shared" si="39"/>
        <v>-19562.849999999999</v>
      </c>
      <c r="H124" s="119"/>
      <c r="I124" s="118">
        <v>78835</v>
      </c>
      <c r="J124" s="123">
        <f>+I124/'[2]Data Entry'!$C$11</f>
        <v>961.40243902439022</v>
      </c>
      <c r="K124" s="48">
        <f t="shared" si="44"/>
        <v>4.1627286150384614E-2</v>
      </c>
      <c r="L124" s="159">
        <f t="shared" si="65"/>
        <v>81200.05</v>
      </c>
      <c r="M124" s="123">
        <f>+L124/'[2]Data Entry'!$C$11</f>
        <v>990.24451219512196</v>
      </c>
      <c r="N124" s="125">
        <f t="shared" si="55"/>
        <v>3.8452128402865181E-2</v>
      </c>
      <c r="O124" s="160">
        <f t="shared" si="66"/>
        <v>83636.051500000001</v>
      </c>
      <c r="P124" s="123">
        <f>+O124/'[2]Data Entry'!$C$11</f>
        <v>1019.9518475609756</v>
      </c>
      <c r="Q124" s="125">
        <f t="shared" si="56"/>
        <v>3.5895989278379933E-2</v>
      </c>
      <c r="R124" s="160">
        <f t="shared" si="67"/>
        <v>86145.13304500001</v>
      </c>
      <c r="S124" s="123">
        <f>+R124/'[2]Data Entry'!$C$11</f>
        <v>1050.550402987805</v>
      </c>
      <c r="T124" s="125">
        <f t="shared" si="57"/>
        <v>3.4411615069978786E-2</v>
      </c>
      <c r="U124" s="160">
        <f t="shared" si="68"/>
        <v>88729.487036350009</v>
      </c>
      <c r="V124" s="123">
        <f>+U124/'[2]Data Entry'!$C$11</f>
        <v>1082.066915077439</v>
      </c>
      <c r="W124" s="125">
        <f t="shared" si="58"/>
        <v>3.4468250775572182E-2</v>
      </c>
      <c r="X124" s="160">
        <f t="shared" si="69"/>
        <v>91391.371647440508</v>
      </c>
      <c r="Y124" s="123">
        <f>+X124/'[2]Data Entry'!$C$11</f>
        <v>1114.5289225297622</v>
      </c>
      <c r="Z124" s="48">
        <f t="shared" si="59"/>
        <v>3.4523968082241729E-2</v>
      </c>
      <c r="AB124" s="127"/>
      <c r="AD124" s="127"/>
      <c r="AF124" s="127"/>
      <c r="AH124" s="127"/>
      <c r="AJ124" s="127"/>
    </row>
    <row r="125" spans="2:41">
      <c r="B125" s="117" t="s">
        <v>332</v>
      </c>
      <c r="C125" s="118">
        <f>'IS (Combined)'!D77</f>
        <v>45635.96</v>
      </c>
      <c r="D125" s="119">
        <f t="shared" si="42"/>
        <v>4.9706993593656497E-2</v>
      </c>
      <c r="E125" s="120">
        <f t="shared" si="41"/>
        <v>2176</v>
      </c>
      <c r="F125" s="121">
        <f t="shared" si="54"/>
        <v>2.2979888289018056E-3</v>
      </c>
      <c r="G125" s="120">
        <f t="shared" si="39"/>
        <v>43459.96</v>
      </c>
      <c r="H125" s="119"/>
      <c r="I125" s="124">
        <f>'[2]Admin - Payroll - RE Taxes'!C42</f>
        <v>4352</v>
      </c>
      <c r="J125" s="123">
        <f>+I125/'[2]Data Entry'!$C$11</f>
        <v>53.073170731707314</v>
      </c>
      <c r="K125" s="48">
        <f t="shared" si="44"/>
        <v>2.2979888289018056E-3</v>
      </c>
      <c r="L125" s="159">
        <f t="shared" si="65"/>
        <v>4482.5600000000004</v>
      </c>
      <c r="M125" s="123">
        <f>+L125/'[2]Data Entry'!$C$11</f>
        <v>54.665365853658543</v>
      </c>
      <c r="N125" s="125">
        <f t="shared" si="55"/>
        <v>2.1227077162335167E-3</v>
      </c>
      <c r="O125" s="160">
        <f t="shared" si="66"/>
        <v>4617.0368000000008</v>
      </c>
      <c r="P125" s="123">
        <f>+O125/'[2]Data Entry'!$C$11</f>
        <v>56.305326829268303</v>
      </c>
      <c r="Q125" s="125">
        <f t="shared" si="56"/>
        <v>1.9815988499969493E-3</v>
      </c>
      <c r="R125" s="160">
        <f t="shared" si="67"/>
        <v>4755.5479040000009</v>
      </c>
      <c r="S125" s="123">
        <f>+R125/'[2]Data Entry'!$C$11</f>
        <v>57.994486634146355</v>
      </c>
      <c r="T125" s="125">
        <f t="shared" si="57"/>
        <v>1.8996555944003003E-3</v>
      </c>
      <c r="U125" s="160">
        <f t="shared" si="68"/>
        <v>4898.2143411200013</v>
      </c>
      <c r="V125" s="123">
        <f>+U125/'[2]Data Entry'!$C$11</f>
        <v>59.734321233170746</v>
      </c>
      <c r="W125" s="125">
        <f t="shared" si="58"/>
        <v>1.9027821066187629E-3</v>
      </c>
      <c r="X125" s="160">
        <f t="shared" si="69"/>
        <v>5045.1607713536014</v>
      </c>
      <c r="Y125" s="123">
        <f>+X125/'[2]Data Entry'!$C$11</f>
        <v>61.526350870165871</v>
      </c>
      <c r="Z125" s="48">
        <f t="shared" si="59"/>
        <v>1.905857919628541E-3</v>
      </c>
      <c r="AB125" s="127"/>
      <c r="AD125" s="127"/>
      <c r="AF125" s="127"/>
      <c r="AH125" s="127"/>
      <c r="AJ125" s="127"/>
    </row>
    <row r="126" spans="2:41">
      <c r="B126" s="180" t="s">
        <v>158</v>
      </c>
      <c r="C126" s="192"/>
      <c r="D126" s="193"/>
      <c r="E126" s="120">
        <f t="shared" si="41"/>
        <v>0</v>
      </c>
      <c r="F126" s="194"/>
      <c r="G126" s="120">
        <f t="shared" si="39"/>
        <v>0</v>
      </c>
      <c r="H126" s="193"/>
      <c r="I126" s="192"/>
      <c r="J126" s="195"/>
      <c r="K126" s="196"/>
      <c r="L126" s="192"/>
      <c r="M126" s="195"/>
      <c r="N126" s="197"/>
      <c r="O126" s="188"/>
      <c r="P126" s="195"/>
      <c r="Q126" s="197"/>
      <c r="R126" s="188"/>
      <c r="S126" s="195"/>
      <c r="T126" s="197"/>
      <c r="U126" s="188"/>
      <c r="V126" s="195"/>
      <c r="W126" s="197"/>
      <c r="X126" s="188"/>
      <c r="Y126" s="195"/>
      <c r="Z126" s="196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  <c r="AM126" s="160"/>
      <c r="AN126" s="160"/>
      <c r="AO126" s="160"/>
    </row>
    <row r="127" spans="2:41">
      <c r="B127" s="129" t="s">
        <v>333</v>
      </c>
      <c r="C127" s="118">
        <v>0</v>
      </c>
      <c r="D127" s="119">
        <f t="shared" si="42"/>
        <v>0</v>
      </c>
      <c r="E127" s="120">
        <f t="shared" si="41"/>
        <v>0</v>
      </c>
      <c r="F127" s="121">
        <f t="shared" si="54"/>
        <v>0</v>
      </c>
      <c r="G127" s="120">
        <f t="shared" si="39"/>
        <v>0</v>
      </c>
      <c r="H127" s="119"/>
      <c r="I127" s="118">
        <v>0</v>
      </c>
      <c r="J127" s="123">
        <f>+I127/'[2]Data Entry'!$C$11</f>
        <v>0</v>
      </c>
      <c r="K127" s="48">
        <f t="shared" si="44"/>
        <v>0</v>
      </c>
      <c r="L127" s="159">
        <f>(1+$L$9)*+I127</f>
        <v>0</v>
      </c>
      <c r="M127" s="123">
        <f>+L127/'[2]Data Entry'!$C$11</f>
        <v>0</v>
      </c>
      <c r="N127" s="125">
        <f t="shared" si="55"/>
        <v>0</v>
      </c>
      <c r="O127" s="160">
        <f>(1+$L$9)*+L127</f>
        <v>0</v>
      </c>
      <c r="P127" s="123">
        <f>+O127/'[2]Data Entry'!$C$11</f>
        <v>0</v>
      </c>
      <c r="Q127" s="125">
        <f t="shared" si="56"/>
        <v>0</v>
      </c>
      <c r="R127" s="160">
        <f>(1+$L$9)*+O127</f>
        <v>0</v>
      </c>
      <c r="S127" s="123">
        <f>+R127/'[2]Data Entry'!$C$11</f>
        <v>0</v>
      </c>
      <c r="T127" s="125">
        <f t="shared" si="57"/>
        <v>0</v>
      </c>
      <c r="U127" s="160">
        <f>(1+$L$9)*+R127</f>
        <v>0</v>
      </c>
      <c r="V127" s="123">
        <f>+U127/'[2]Data Entry'!$C$11</f>
        <v>0</v>
      </c>
      <c r="W127" s="125">
        <f t="shared" si="58"/>
        <v>0</v>
      </c>
      <c r="X127" s="160">
        <f>(1+$L$9)*+U127</f>
        <v>0</v>
      </c>
      <c r="Y127" s="123">
        <f>+X127/'[2]Data Entry'!$C$11</f>
        <v>0</v>
      </c>
      <c r="Z127" s="48">
        <f t="shared" si="59"/>
        <v>0</v>
      </c>
      <c r="AB127" s="127"/>
      <c r="AD127" s="127"/>
      <c r="AF127" s="127"/>
      <c r="AH127" s="127"/>
      <c r="AJ127" s="127"/>
    </row>
    <row r="128" spans="2:41">
      <c r="B128" s="129" t="s">
        <v>334</v>
      </c>
      <c r="C128" s="118">
        <v>0</v>
      </c>
      <c r="D128" s="119">
        <f t="shared" si="42"/>
        <v>0</v>
      </c>
      <c r="E128" s="120">
        <f t="shared" si="41"/>
        <v>1600</v>
      </c>
      <c r="F128" s="121">
        <f t="shared" si="54"/>
        <v>1.6896976683101511E-3</v>
      </c>
      <c r="G128" s="120">
        <f t="shared" si="39"/>
        <v>-1600</v>
      </c>
      <c r="H128" s="119"/>
      <c r="I128" s="118">
        <v>3200</v>
      </c>
      <c r="J128" s="123">
        <f>+I128/'[2]Data Entry'!$C$11</f>
        <v>39.024390243902438</v>
      </c>
      <c r="K128" s="48">
        <f t="shared" si="44"/>
        <v>1.6896976683101511E-3</v>
      </c>
      <c r="L128" s="159">
        <f>(1+$L$9)*+I128</f>
        <v>3296</v>
      </c>
      <c r="M128" s="123">
        <f>+L128/'[2]Data Entry'!$C$11</f>
        <v>40.195121951219512</v>
      </c>
      <c r="N128" s="125">
        <f t="shared" si="55"/>
        <v>1.5608144972305269E-3</v>
      </c>
      <c r="O128" s="160">
        <f>(1+$L$9)*+L128</f>
        <v>3394.88</v>
      </c>
      <c r="P128" s="123">
        <f>+O128/'[2]Data Entry'!$C$11</f>
        <v>41.400975609756102</v>
      </c>
      <c r="Q128" s="125">
        <f t="shared" si="56"/>
        <v>1.4570579779389331E-3</v>
      </c>
      <c r="R128" s="160">
        <f>(1+$L$9)*+O128</f>
        <v>3496.7264</v>
      </c>
      <c r="S128" s="123">
        <f>+R128/'[2]Data Entry'!$C$11</f>
        <v>42.643004878048778</v>
      </c>
      <c r="T128" s="125">
        <f t="shared" si="57"/>
        <v>1.3968055841178677E-3</v>
      </c>
      <c r="U128" s="160">
        <f>(1+$L$9)*+R128</f>
        <v>3601.6281920000001</v>
      </c>
      <c r="V128" s="123">
        <f>+U128/'[2]Data Entry'!$C$11</f>
        <v>43.922295024390245</v>
      </c>
      <c r="W128" s="125">
        <f t="shared" si="58"/>
        <v>1.3991044901608548E-3</v>
      </c>
      <c r="X128" s="160">
        <f>(1+$L$9)*+U128</f>
        <v>3709.6770377600001</v>
      </c>
      <c r="Y128" s="123">
        <f>+X128/'[2]Data Entry'!$C$11</f>
        <v>45.239963875121951</v>
      </c>
      <c r="Z128" s="48">
        <f t="shared" si="59"/>
        <v>1.401366117373927E-3</v>
      </c>
      <c r="AB128" s="127"/>
      <c r="AD128" s="127"/>
      <c r="AF128" s="127"/>
      <c r="AH128" s="127"/>
      <c r="AJ128" s="127"/>
    </row>
    <row r="129" spans="2:39">
      <c r="B129" s="129" t="s">
        <v>335</v>
      </c>
      <c r="C129" s="118">
        <v>0</v>
      </c>
      <c r="D129" s="119">
        <f t="shared" si="42"/>
        <v>0</v>
      </c>
      <c r="E129" s="120">
        <f t="shared" si="41"/>
        <v>0</v>
      </c>
      <c r="F129" s="121">
        <f t="shared" si="54"/>
        <v>0</v>
      </c>
      <c r="G129" s="120">
        <f t="shared" si="39"/>
        <v>0</v>
      </c>
      <c r="H129" s="119"/>
      <c r="I129" s="118">
        <v>0</v>
      </c>
      <c r="J129" s="123">
        <f>+I129/'[2]Data Entry'!$C$11</f>
        <v>0</v>
      </c>
      <c r="K129" s="48">
        <f t="shared" si="44"/>
        <v>0</v>
      </c>
      <c r="L129" s="159">
        <f>(1+$L$9)*+I129</f>
        <v>0</v>
      </c>
      <c r="M129" s="123">
        <f>+L129/'[2]Data Entry'!$C$11</f>
        <v>0</v>
      </c>
      <c r="N129" s="125">
        <f t="shared" si="55"/>
        <v>0</v>
      </c>
      <c r="O129" s="160">
        <f>(1+$L$9)*+L129</f>
        <v>0</v>
      </c>
      <c r="P129" s="123">
        <f>+O129/'[2]Data Entry'!$C$11</f>
        <v>0</v>
      </c>
      <c r="Q129" s="125">
        <f t="shared" si="56"/>
        <v>0</v>
      </c>
      <c r="R129" s="160">
        <f>(1+$L$9)*+O129</f>
        <v>0</v>
      </c>
      <c r="S129" s="123">
        <f>+R129/'[2]Data Entry'!$C$11</f>
        <v>0</v>
      </c>
      <c r="T129" s="125">
        <f t="shared" si="57"/>
        <v>0</v>
      </c>
      <c r="U129" s="160">
        <f>(1+$L$9)*+R129</f>
        <v>0</v>
      </c>
      <c r="V129" s="123">
        <f>+U129/'[2]Data Entry'!$C$11</f>
        <v>0</v>
      </c>
      <c r="W129" s="125">
        <f t="shared" si="58"/>
        <v>0</v>
      </c>
      <c r="X129" s="160">
        <f>(1+$L$9)*+U129</f>
        <v>0</v>
      </c>
      <c r="Y129" s="123">
        <f>+X129/'[2]Data Entry'!$C$11</f>
        <v>0</v>
      </c>
      <c r="Z129" s="48">
        <f t="shared" si="59"/>
        <v>0</v>
      </c>
      <c r="AB129" s="127"/>
      <c r="AD129" s="127"/>
      <c r="AF129" s="127"/>
      <c r="AH129" s="127"/>
      <c r="AJ129" s="127"/>
    </row>
    <row r="130" spans="2:39">
      <c r="B130" s="166" t="s">
        <v>336</v>
      </c>
      <c r="C130" s="136">
        <f>SUM(C88:C129)</f>
        <v>366889.71</v>
      </c>
      <c r="D130" s="198">
        <f t="shared" si="42"/>
        <v>0.39961873190677899</v>
      </c>
      <c r="E130" s="138">
        <f>SUM(E88:E129)</f>
        <v>364690.82280000002</v>
      </c>
      <c r="F130" s="139">
        <f t="shared" si="54"/>
        <v>0.38513577058704412</v>
      </c>
      <c r="G130" s="138">
        <f>SUM(G88:G129)</f>
        <v>2198.8872000000119</v>
      </c>
      <c r="H130" s="137"/>
      <c r="I130" s="149">
        <f>SUM(I88:I129)</f>
        <v>729381.64560000005</v>
      </c>
      <c r="J130" s="140">
        <f>+I130/'[2]Data Entry'!$C$11</f>
        <v>8894.8981170731713</v>
      </c>
      <c r="K130" s="48">
        <f t="shared" si="44"/>
        <v>0.38513577058704412</v>
      </c>
      <c r="L130" s="136">
        <f>SUM(L88:L129)</f>
        <v>662084.35498751223</v>
      </c>
      <c r="M130" s="140">
        <f>+L130/'[2]Data Entry'!$C$11</f>
        <v>8074.1994510672221</v>
      </c>
      <c r="N130" s="142">
        <f t="shared" si="55"/>
        <v>0.31352878023483965</v>
      </c>
      <c r="O130" s="138">
        <f>SUM(O88:O129)</f>
        <v>787482.76910338155</v>
      </c>
      <c r="P130" s="140">
        <f>+O130/'[2]Data Entry'!$C$11</f>
        <v>9603.4484036997746</v>
      </c>
      <c r="Q130" s="142">
        <f>+O130/$O$85</f>
        <v>0.33798191724347393</v>
      </c>
      <c r="R130" s="138">
        <f>SUM(R88:R129)</f>
        <v>816800.83774798689</v>
      </c>
      <c r="S130" s="143">
        <f>+R130/'[2]Data Entry'!$C$11</f>
        <v>9960.985826194963</v>
      </c>
      <c r="T130" s="142">
        <f t="shared" si="57"/>
        <v>0.32628002330366496</v>
      </c>
      <c r="U130" s="138">
        <f>SUM(U88:U129)</f>
        <v>841071.84101449908</v>
      </c>
      <c r="V130" s="143">
        <f>+U130/'[2]Data Entry'!$C$11</f>
        <v>10256.973670908525</v>
      </c>
      <c r="W130" s="142">
        <f>+U130/$U$85</f>
        <v>0.32672650439738732</v>
      </c>
      <c r="X130" s="138">
        <f>SUM(X88:X129)</f>
        <v>866068.64416034741</v>
      </c>
      <c r="Y130" s="143">
        <f>+X130/'[2]Data Entry'!$C$11</f>
        <v>10561.812733662773</v>
      </c>
      <c r="Z130" s="141">
        <f t="shared" si="59"/>
        <v>0.32716574539845616</v>
      </c>
      <c r="AA130" s="126" t="e">
        <f>SUM(#REF!)</f>
        <v>#REF!</v>
      </c>
      <c r="AB130" s="127" t="e">
        <f>AA130/$X$85</f>
        <v>#REF!</v>
      </c>
      <c r="AC130" s="126" t="e">
        <f>SUM(#REF!)</f>
        <v>#REF!</v>
      </c>
      <c r="AD130" s="127" t="e">
        <f>AC130/$X$85</f>
        <v>#REF!</v>
      </c>
      <c r="AE130" s="126" t="e">
        <f>SUM(#REF!)</f>
        <v>#REF!</v>
      </c>
      <c r="AF130" s="127" t="e">
        <f>AE130/$X$85</f>
        <v>#REF!</v>
      </c>
      <c r="AG130" s="126" t="e">
        <f>SUM(#REF!)</f>
        <v>#REF!</v>
      </c>
      <c r="AH130" s="127" t="e">
        <f>AG130/$X$85</f>
        <v>#REF!</v>
      </c>
      <c r="AI130" s="126" t="e">
        <f>SUM(#REF!)</f>
        <v>#REF!</v>
      </c>
      <c r="AJ130" s="127" t="e">
        <f>AI130/$X$85</f>
        <v>#REF!</v>
      </c>
    </row>
    <row r="131" spans="2:39">
      <c r="B131" s="166" t="s">
        <v>337</v>
      </c>
      <c r="C131" s="136">
        <f>+C85-C130</f>
        <v>551209.66999999993</v>
      </c>
      <c r="D131" s="137">
        <f t="shared" si="42"/>
        <v>0.6003812680932209</v>
      </c>
      <c r="E131" s="138">
        <f>+E85-E130</f>
        <v>582224.1372</v>
      </c>
      <c r="F131" s="199">
        <f>+E131/'[2]Data Entry'!$C$11</f>
        <v>7100.2943560975609</v>
      </c>
      <c r="G131" s="138">
        <f>+G85-G130</f>
        <v>-31014.467199999963</v>
      </c>
      <c r="H131" s="390"/>
      <c r="I131" s="136">
        <f>+I85-I130</f>
        <v>1164448.2744</v>
      </c>
      <c r="J131" s="140">
        <f>+I131/'[2]Data Entry'!$C$11</f>
        <v>14200.588712195122</v>
      </c>
      <c r="K131" s="141">
        <f t="shared" si="44"/>
        <v>0.61486422941295593</v>
      </c>
      <c r="L131" s="136">
        <f>+L85-L130</f>
        <v>1449633.6011490729</v>
      </c>
      <c r="M131" s="140">
        <f>+L131/'[2]Data Entry'!$C$11</f>
        <v>17678.458550598451</v>
      </c>
      <c r="N131" s="142">
        <f t="shared" si="55"/>
        <v>0.68647121976516023</v>
      </c>
      <c r="O131" s="138">
        <f>+O85-O130</f>
        <v>1542472.559649009</v>
      </c>
      <c r="P131" s="140">
        <f>+O131/'[2]Data Entry'!$C$11</f>
        <v>18810.64097132938</v>
      </c>
      <c r="Q131" s="142">
        <f t="shared" si="56"/>
        <v>0.66201808275652607</v>
      </c>
      <c r="R131" s="138">
        <f>+R85-R130</f>
        <v>1686572.8885306828</v>
      </c>
      <c r="S131" s="143">
        <f>R131/'[2]Data Entry'!$C$11</f>
        <v>20567.962055252228</v>
      </c>
      <c r="T131" s="142">
        <f t="shared" si="57"/>
        <v>0.6737199766963351</v>
      </c>
      <c r="U131" s="138">
        <f>+U85-U130</f>
        <v>1733166.3358538502</v>
      </c>
      <c r="V131" s="143">
        <f>U131/'[2]Data Entry'!$C$11</f>
        <v>21136.174827485978</v>
      </c>
      <c r="W131" s="142">
        <f t="shared" si="58"/>
        <v>0.67327349560261263</v>
      </c>
      <c r="X131" s="138">
        <f>+X85-X130</f>
        <v>1781117.5492033856</v>
      </c>
      <c r="Y131" s="143">
        <f>X131/'[2]Data Entry'!$C$11</f>
        <v>21720.945721992506</v>
      </c>
      <c r="Z131" s="141">
        <f t="shared" si="59"/>
        <v>0.67283425460154378</v>
      </c>
      <c r="AA131" s="126" t="e">
        <f>+AA85-AA130</f>
        <v>#REF!</v>
      </c>
      <c r="AB131" s="127" t="e">
        <f>AA131/$X$85</f>
        <v>#REF!</v>
      </c>
      <c r="AC131" s="126" t="e">
        <f>+AC85-AC130</f>
        <v>#REF!</v>
      </c>
      <c r="AD131" s="127" t="e">
        <f>AC131/$X$85</f>
        <v>#REF!</v>
      </c>
      <c r="AE131" s="126" t="e">
        <f>+AE85-AE130</f>
        <v>#REF!</v>
      </c>
      <c r="AF131" s="127" t="e">
        <f>AE131/$X$85</f>
        <v>#REF!</v>
      </c>
      <c r="AG131" s="126" t="e">
        <f>+AG85-AG130</f>
        <v>#REF!</v>
      </c>
      <c r="AH131" s="127" t="e">
        <f>AG131/$X$85</f>
        <v>#REF!</v>
      </c>
      <c r="AI131" s="126" t="e">
        <f>+AI85-AI130</f>
        <v>#REF!</v>
      </c>
      <c r="AJ131" s="127" t="e">
        <f>AI131/$X$85</f>
        <v>#REF!</v>
      </c>
    </row>
    <row r="132" spans="2:39">
      <c r="B132" s="200" t="s">
        <v>338</v>
      </c>
      <c r="C132" s="118">
        <f>'Debt Service'!B8*3</f>
        <v>5124.99</v>
      </c>
      <c r="D132" s="119">
        <f t="shared" si="42"/>
        <v>5.5821734679746757E-3</v>
      </c>
      <c r="E132" s="120">
        <f>I132/2</f>
        <v>12300</v>
      </c>
      <c r="F132" s="201">
        <f>+E132/'[2]Data Entry'!$C$11</f>
        <v>150</v>
      </c>
      <c r="G132" s="120">
        <f>C132-E132</f>
        <v>-7175.01</v>
      </c>
      <c r="H132" s="391"/>
      <c r="I132" s="202">
        <f>+'[2]Data Entry'!$C$11*J132</f>
        <v>24600</v>
      </c>
      <c r="J132" s="189">
        <v>300</v>
      </c>
      <c r="K132" s="48">
        <f t="shared" si="44"/>
        <v>1.2989550825134286E-2</v>
      </c>
      <c r="L132" s="124">
        <f>M132*'[2]Data Entry'!$C$11</f>
        <v>24600</v>
      </c>
      <c r="M132" s="123">
        <f>J132</f>
        <v>300</v>
      </c>
      <c r="N132" s="125">
        <f t="shared" si="55"/>
        <v>1.1649282958698715E-2</v>
      </c>
      <c r="O132" s="46">
        <f>P132*'[2]Data Entry'!$C$11</f>
        <v>24600</v>
      </c>
      <c r="P132" s="123">
        <f>J132</f>
        <v>300</v>
      </c>
      <c r="Q132" s="125">
        <f t="shared" si="56"/>
        <v>1.0558142337077525E-2</v>
      </c>
      <c r="R132" s="46">
        <f>S132*'[2]Data Entry'!$C$11</f>
        <v>24600</v>
      </c>
      <c r="S132" s="203">
        <f>J132</f>
        <v>300</v>
      </c>
      <c r="T132" s="125">
        <f t="shared" si="57"/>
        <v>9.8267389090835201E-3</v>
      </c>
      <c r="U132" s="46">
        <f>V132*'[2]Data Entry'!$C$11</f>
        <v>24600</v>
      </c>
      <c r="V132" s="203">
        <f>J132</f>
        <v>300</v>
      </c>
      <c r="W132" s="125">
        <f t="shared" si="58"/>
        <v>9.5562253023248837E-3</v>
      </c>
      <c r="X132" s="46">
        <f>Y132*'[2]Data Entry'!$C$11</f>
        <v>24600</v>
      </c>
      <c r="Y132" s="203">
        <f>J132</f>
        <v>300</v>
      </c>
      <c r="Z132" s="48">
        <f t="shared" si="59"/>
        <v>9.2928861829477925E-3</v>
      </c>
      <c r="AA132" s="161">
        <f>X132</f>
        <v>24600</v>
      </c>
      <c r="AB132" s="162">
        <f>AA132/$X$85</f>
        <v>9.2928861829477925E-3</v>
      </c>
      <c r="AC132" s="161">
        <f>AA132</f>
        <v>24600</v>
      </c>
      <c r="AD132" s="162">
        <f>AC132/$X$85</f>
        <v>9.2928861829477925E-3</v>
      </c>
      <c r="AE132" s="161">
        <f>AC132</f>
        <v>24600</v>
      </c>
      <c r="AF132" s="162">
        <f>AE132/$X$85</f>
        <v>9.2928861829477925E-3</v>
      </c>
      <c r="AG132" s="161">
        <f>AE132</f>
        <v>24600</v>
      </c>
      <c r="AH132" s="162">
        <f>AG132/$X$85</f>
        <v>9.2928861829477925E-3</v>
      </c>
      <c r="AI132" s="161">
        <f>AG132</f>
        <v>24600</v>
      </c>
      <c r="AJ132" s="162">
        <f>AI132/$X$85</f>
        <v>9.2928861829477925E-3</v>
      </c>
    </row>
    <row r="133" spans="2:39" ht="10.5" thickBot="1">
      <c r="B133" s="166" t="s">
        <v>339</v>
      </c>
      <c r="C133" s="204">
        <f>C131-C132</f>
        <v>546084.67999999993</v>
      </c>
      <c r="D133" s="205">
        <f t="shared" si="42"/>
        <v>0.59479909462524627</v>
      </c>
      <c r="E133" s="206">
        <f>E131-E132</f>
        <v>569924.1372</v>
      </c>
      <c r="F133" s="207">
        <f>+E133/'[2]Data Entry'!$C$11</f>
        <v>6950.2943560975609</v>
      </c>
      <c r="G133" s="206">
        <f>G131-G132</f>
        <v>-23839.457199999961</v>
      </c>
      <c r="H133" s="392"/>
      <c r="I133" s="208">
        <f>I131-I132</f>
        <v>1139848.2744</v>
      </c>
      <c r="J133" s="209">
        <f>+I133/'[2]Data Entry'!$C$11</f>
        <v>13900.588712195122</v>
      </c>
      <c r="K133" s="210">
        <f t="shared" si="44"/>
        <v>0.60187467858782173</v>
      </c>
      <c r="L133" s="167">
        <f>L131-L132</f>
        <v>1425033.6011490729</v>
      </c>
      <c r="M133" s="172">
        <f>+L133/'[2]Data Entry'!$C$11</f>
        <v>17378.458550598451</v>
      </c>
      <c r="N133" s="174">
        <f t="shared" si="55"/>
        <v>0.67482193680646152</v>
      </c>
      <c r="O133" s="169">
        <f>O131-O132</f>
        <v>1517872.559649009</v>
      </c>
      <c r="P133" s="172">
        <f>+O133/'[2]Data Entry'!$C$11</f>
        <v>18510.64097132938</v>
      </c>
      <c r="Q133" s="174">
        <f t="shared" si="56"/>
        <v>0.65145994041944855</v>
      </c>
      <c r="R133" s="169">
        <f>R131-R132</f>
        <v>1661972.8885306828</v>
      </c>
      <c r="S133" s="211">
        <f>R133/'[2]Data Entry'!$C$11</f>
        <v>20267.962055252228</v>
      </c>
      <c r="T133" s="174">
        <f t="shared" si="57"/>
        <v>0.66389323778725151</v>
      </c>
      <c r="U133" s="169">
        <f>U131-U132</f>
        <v>1708566.3358538502</v>
      </c>
      <c r="V133" s="211">
        <f>U133/'[2]Data Entry'!$C$11</f>
        <v>20836.174827485978</v>
      </c>
      <c r="W133" s="174">
        <f t="shared" si="58"/>
        <v>0.66371727030028782</v>
      </c>
      <c r="X133" s="169">
        <f>X131-X132</f>
        <v>1756517.5492033856</v>
      </c>
      <c r="Y133" s="211">
        <f>X133/'[2]Data Entry'!$C$11</f>
        <v>21420.945721992506</v>
      </c>
      <c r="Z133" s="173">
        <f t="shared" si="59"/>
        <v>0.66354136841859601</v>
      </c>
      <c r="AA133" s="126" t="e">
        <f t="shared" ref="AA133" si="70">AA131-AA132</f>
        <v>#REF!</v>
      </c>
      <c r="AB133" s="127" t="e">
        <f>AA133/$X$85</f>
        <v>#REF!</v>
      </c>
      <c r="AC133" s="126" t="e">
        <f t="shared" ref="AC133" si="71">AC131-AC132</f>
        <v>#REF!</v>
      </c>
      <c r="AD133" s="127" t="e">
        <f>AC133/$X$85</f>
        <v>#REF!</v>
      </c>
      <c r="AE133" s="126" t="e">
        <f t="shared" ref="AE133" si="72">AE131-AE132</f>
        <v>#REF!</v>
      </c>
      <c r="AF133" s="127" t="e">
        <f>AE133/$X$85</f>
        <v>#REF!</v>
      </c>
      <c r="AG133" s="126" t="e">
        <f t="shared" ref="AG133" si="73">AG131-AG132</f>
        <v>#REF!</v>
      </c>
      <c r="AH133" s="127" t="e">
        <f>AG133/$X$85</f>
        <v>#REF!</v>
      </c>
      <c r="AI133" s="126" t="e">
        <f t="shared" ref="AI133" si="74">AI131-AI132</f>
        <v>#REF!</v>
      </c>
      <c r="AJ133" s="127" t="e">
        <f>AI133/$X$85</f>
        <v>#REF!</v>
      </c>
    </row>
    <row r="134" spans="2:39" ht="10.5" thickTop="1">
      <c r="B134" s="200" t="s">
        <v>340</v>
      </c>
      <c r="C134" s="118">
        <f>'IS (Combined)'!D84</f>
        <v>-287481.82</v>
      </c>
      <c r="D134" s="128"/>
      <c r="E134" s="120">
        <f>I134/2</f>
        <v>-356874</v>
      </c>
      <c r="F134" s="71"/>
      <c r="G134" s="120">
        <f>C134-E134</f>
        <v>69392.179999999993</v>
      </c>
      <c r="H134" s="49"/>
      <c r="I134" s="124">
        <f>-IF('[2]Data Entry'!$F17&lt;0.5,'[2]Misc. Calculations'!$C64,'[2]Misc. Calculations'!$C63)</f>
        <v>-713748</v>
      </c>
      <c r="J134" s="47"/>
      <c r="K134" s="48"/>
      <c r="L134" s="124">
        <f>-IF('[2]Data Entry'!$F17&gt;=0.5,'[2]Misc. Calculations'!$C63,'[2]Misc. Calculations'!$C64)</f>
        <v>-713748</v>
      </c>
      <c r="M134" s="47"/>
      <c r="N134" s="125"/>
      <c r="O134" s="46">
        <f>-IF('[2]Data Entry'!$F17&gt;=1.5,'[2]Misc. Calculations'!$C63,'[2]Misc. Calculations'!$C64)</f>
        <v>-713748</v>
      </c>
      <c r="P134" s="47"/>
      <c r="Q134" s="125"/>
      <c r="R134" s="46">
        <f>-IF('[2]Data Entry'!$F17&gt;=2.5,'[2]Misc. Calculations'!$C63,'[2]Misc. Calculations'!$C64)</f>
        <v>-713748</v>
      </c>
      <c r="S134" s="47"/>
      <c r="T134" s="125"/>
      <c r="U134" s="46">
        <f>-IF('[2]Data Entry'!$F17&gt;=3.5,'[2]Misc. Calculations'!$C63,'[2]Misc. Calculations'!$C64)</f>
        <v>-863190.90331069822</v>
      </c>
      <c r="W134" s="125"/>
      <c r="X134" s="46">
        <f>-IF('[2]Data Entry'!$F17&gt;=4.5,'[2]Misc. Calculations'!$C63,'[2]Misc. Calculations'!$C64)</f>
        <v>-863190.90331069822</v>
      </c>
      <c r="Z134" s="48"/>
      <c r="AA134" s="126" t="e">
        <f>#REF!+#REF!</f>
        <v>#REF!</v>
      </c>
      <c r="AB134" s="127"/>
      <c r="AC134" s="126" t="e">
        <f>#REF!+#REF!</f>
        <v>#REF!</v>
      </c>
      <c r="AD134" s="127"/>
      <c r="AE134" s="126" t="e">
        <f>#REF!+#REF!</f>
        <v>#REF!</v>
      </c>
      <c r="AF134" s="127"/>
      <c r="AG134" s="126" t="e">
        <f>#REF!+#REF!</f>
        <v>#REF!</v>
      </c>
      <c r="AH134" s="127"/>
      <c r="AI134" s="126" t="e">
        <f>#REF!+#REF!</f>
        <v>#REF!</v>
      </c>
      <c r="AJ134" s="127"/>
    </row>
    <row r="135" spans="2:39" ht="10.5" thickBot="1">
      <c r="B135" s="166" t="s">
        <v>341</v>
      </c>
      <c r="C135" s="167">
        <f>C133+C134</f>
        <v>258602.85999999993</v>
      </c>
      <c r="D135" s="128"/>
      <c r="E135" s="167">
        <f>E133+E134</f>
        <v>213050.1372</v>
      </c>
      <c r="F135" s="71"/>
      <c r="G135" s="167">
        <f>G133+G134</f>
        <v>45552.722800000032</v>
      </c>
      <c r="H135" s="49"/>
      <c r="I135" s="167">
        <f>I133+I134</f>
        <v>426100.27439999999</v>
      </c>
      <c r="J135" s="47"/>
      <c r="K135" s="48"/>
      <c r="L135" s="167">
        <f>SUM(L133:L134)</f>
        <v>711285.60114907287</v>
      </c>
      <c r="M135" s="47"/>
      <c r="N135" s="125"/>
      <c r="O135" s="169">
        <f>SUM(O133:O134)</f>
        <v>804124.55964900902</v>
      </c>
      <c r="P135" s="47"/>
      <c r="Q135" s="125"/>
      <c r="R135" s="169">
        <f>SUM(R133:R134)</f>
        <v>948224.88853068277</v>
      </c>
      <c r="S135" s="47"/>
      <c r="T135" s="125"/>
      <c r="U135" s="169">
        <f>SUM(U133:U134)</f>
        <v>845375.43254315201</v>
      </c>
      <c r="W135" s="125"/>
      <c r="X135" s="169">
        <f>SUM(X133:X134)</f>
        <v>893326.64589268737</v>
      </c>
      <c r="Z135" s="48"/>
      <c r="AA135" s="126" t="e">
        <f>AA133-AA134</f>
        <v>#REF!</v>
      </c>
      <c r="AB135" s="127"/>
      <c r="AC135" s="126" t="e">
        <f>AC133-AC134</f>
        <v>#REF!</v>
      </c>
      <c r="AD135" s="127"/>
      <c r="AE135" s="126" t="e">
        <f>AE133-AE134</f>
        <v>#REF!</v>
      </c>
      <c r="AF135" s="127"/>
      <c r="AG135" s="126" t="e">
        <f>AG133-AG134</f>
        <v>#REF!</v>
      </c>
      <c r="AH135" s="127"/>
      <c r="AI135" s="126" t="e">
        <f>AI133-AI134</f>
        <v>#REF!</v>
      </c>
      <c r="AJ135" s="127"/>
    </row>
    <row r="136" spans="2:39" ht="11" thickTop="1" thickBot="1">
      <c r="B136" s="166"/>
      <c r="C136" s="212"/>
      <c r="D136" s="213"/>
      <c r="E136" s="214"/>
      <c r="F136" s="215"/>
      <c r="G136" s="393"/>
      <c r="H136" s="393"/>
      <c r="I136" s="212"/>
      <c r="J136" s="216"/>
      <c r="K136" s="217"/>
      <c r="L136" s="212"/>
      <c r="M136" s="216"/>
      <c r="N136" s="218"/>
      <c r="O136" s="214"/>
      <c r="P136" s="216"/>
      <c r="Q136" s="218"/>
      <c r="R136" s="214"/>
      <c r="S136" s="216"/>
      <c r="T136" s="218"/>
      <c r="U136" s="214"/>
      <c r="V136" s="216"/>
      <c r="W136" s="218"/>
      <c r="X136" s="214"/>
      <c r="Y136" s="216"/>
      <c r="Z136" s="217"/>
      <c r="AA136" s="126"/>
      <c r="AC136" s="126"/>
      <c r="AE136" s="126"/>
      <c r="AG136" s="126"/>
      <c r="AI136" s="126"/>
    </row>
    <row r="137" spans="2:39" s="219" customFormat="1" ht="18" customHeight="1" thickBot="1">
      <c r="B137" s="442" t="s">
        <v>342</v>
      </c>
      <c r="C137" s="428"/>
      <c r="D137" s="428"/>
      <c r="E137" s="428"/>
      <c r="F137" s="428"/>
      <c r="G137" s="428"/>
      <c r="H137" s="428"/>
      <c r="I137" s="428"/>
      <c r="J137" s="428"/>
      <c r="K137" s="428"/>
      <c r="L137" s="428"/>
      <c r="M137" s="428"/>
      <c r="N137" s="428"/>
      <c r="O137" s="428"/>
      <c r="P137" s="428"/>
      <c r="Q137" s="428"/>
      <c r="R137" s="428"/>
      <c r="S137" s="428"/>
      <c r="T137" s="428"/>
      <c r="U137" s="428"/>
      <c r="V137" s="428"/>
      <c r="W137" s="428"/>
      <c r="X137" s="428"/>
      <c r="Y137" s="428"/>
      <c r="Z137" s="429"/>
      <c r="AA137" s="220"/>
      <c r="AB137" s="221"/>
      <c r="AC137" s="220"/>
      <c r="AD137" s="221"/>
      <c r="AE137" s="220"/>
      <c r="AF137" s="221"/>
      <c r="AG137" s="220"/>
      <c r="AH137" s="221"/>
      <c r="AI137" s="220"/>
      <c r="AJ137" s="221"/>
    </row>
    <row r="138" spans="2:39">
      <c r="B138" s="166" t="s">
        <v>341</v>
      </c>
      <c r="C138" s="223">
        <f>C135</f>
        <v>258602.85999999993</v>
      </c>
      <c r="D138" s="128"/>
      <c r="E138" s="223">
        <f>I138/2</f>
        <v>213050.1372</v>
      </c>
      <c r="F138" s="128"/>
      <c r="G138" s="222">
        <f>C138-E138</f>
        <v>45552.72279999993</v>
      </c>
      <c r="H138" s="128"/>
      <c r="I138" s="223">
        <f>I135</f>
        <v>426100.27439999999</v>
      </c>
      <c r="J138" s="224"/>
      <c r="K138" s="224"/>
      <c r="L138" s="225">
        <f>L135</f>
        <v>711285.60114907287</v>
      </c>
      <c r="M138" s="226"/>
      <c r="N138" s="226"/>
      <c r="O138" s="225">
        <f>O135</f>
        <v>804124.55964900902</v>
      </c>
      <c r="P138" s="226"/>
      <c r="Q138" s="226"/>
      <c r="R138" s="225">
        <f>R135</f>
        <v>948224.88853068277</v>
      </c>
      <c r="S138" s="226"/>
      <c r="T138" s="226"/>
      <c r="U138" s="225">
        <f>U135</f>
        <v>845375.43254315201</v>
      </c>
      <c r="V138" s="226"/>
      <c r="W138" s="226"/>
      <c r="X138" s="225">
        <f>X135</f>
        <v>893326.64589268737</v>
      </c>
      <c r="Y138" s="226"/>
      <c r="Z138" s="227"/>
      <c r="AA138" s="126"/>
      <c r="AC138" s="126"/>
      <c r="AE138" s="126"/>
      <c r="AG138" s="126"/>
      <c r="AI138" s="126"/>
    </row>
    <row r="139" spans="2:39">
      <c r="B139" s="200" t="s">
        <v>343</v>
      </c>
      <c r="C139" s="124">
        <f>0.8*(C135-C142)</f>
        <v>150830.27999999994</v>
      </c>
      <c r="D139" s="228"/>
      <c r="E139" s="124">
        <f t="shared" ref="E139:E143" si="75">I139/2</f>
        <v>114516.32576000002</v>
      </c>
      <c r="F139" s="49"/>
      <c r="G139" s="222">
        <f t="shared" ref="G139:G144" si="76">C139-E139</f>
        <v>36313.954239999919</v>
      </c>
      <c r="H139" s="49"/>
      <c r="I139" s="124">
        <f>0.8*(I135-I142)</f>
        <v>229032.65152000004</v>
      </c>
      <c r="J139" s="229"/>
      <c r="K139" s="45"/>
      <c r="L139" s="230">
        <f>0.8*(L135-L142)</f>
        <v>457180.91291925835</v>
      </c>
      <c r="M139" s="47"/>
      <c r="N139" s="47"/>
      <c r="O139" s="230">
        <f>0.8*(O135-O142)</f>
        <v>531452.07971920725</v>
      </c>
      <c r="P139" s="47"/>
      <c r="Q139" s="47"/>
      <c r="R139" s="230">
        <f>0.8*(R135-R142)</f>
        <v>646732.34282454627</v>
      </c>
      <c r="S139" s="47"/>
      <c r="T139" s="47"/>
      <c r="U139" s="230">
        <f>0.8*(U135-U142)</f>
        <v>564452.77803452162</v>
      </c>
      <c r="W139" s="47"/>
      <c r="X139" s="230">
        <f>0.8*(X135-X142)</f>
        <v>602813.74871414993</v>
      </c>
      <c r="Z139" s="231"/>
      <c r="AA139" s="126"/>
      <c r="AC139" s="126"/>
      <c r="AE139" s="126"/>
      <c r="AG139" s="126"/>
      <c r="AI139" s="126"/>
    </row>
    <row r="140" spans="2:39">
      <c r="B140" s="200" t="s">
        <v>344</v>
      </c>
      <c r="C140" s="124">
        <f>0.2*(C135-C142)</f>
        <v>37707.569999999985</v>
      </c>
      <c r="D140" s="228"/>
      <c r="E140" s="124">
        <f t="shared" si="75"/>
        <v>28629.081440000005</v>
      </c>
      <c r="F140" s="49"/>
      <c r="G140" s="222">
        <f t="shared" si="76"/>
        <v>9078.4885599999798</v>
      </c>
      <c r="H140" s="49"/>
      <c r="I140" s="124">
        <f>0.2*(I135-I142)</f>
        <v>57258.162880000011</v>
      </c>
      <c r="J140" s="229"/>
      <c r="K140" s="45"/>
      <c r="L140" s="230">
        <f>0.2*(L135-L142)</f>
        <v>114295.22822981459</v>
      </c>
      <c r="M140" s="47"/>
      <c r="N140" s="47"/>
      <c r="O140" s="230">
        <f>0.2*(O135-O142)</f>
        <v>132863.01992980181</v>
      </c>
      <c r="P140" s="47"/>
      <c r="Q140" s="47"/>
      <c r="R140" s="230">
        <f>0.2*(R135-R142)</f>
        <v>161683.08570613657</v>
      </c>
      <c r="S140" s="47"/>
      <c r="T140" s="47"/>
      <c r="U140" s="230">
        <f>0.2*(U135-U142)</f>
        <v>141113.1945086304</v>
      </c>
      <c r="W140" s="47"/>
      <c r="X140" s="230">
        <f>0.2*(X135-X142)</f>
        <v>150703.43717853748</v>
      </c>
      <c r="Z140" s="231"/>
      <c r="AA140" s="126"/>
      <c r="AC140" s="126"/>
      <c r="AE140" s="126"/>
      <c r="AG140" s="126"/>
      <c r="AI140" s="126"/>
      <c r="AM140" s="232"/>
    </row>
    <row r="141" spans="2:39">
      <c r="B141" s="233" t="s">
        <v>345</v>
      </c>
      <c r="C141" s="124">
        <f>'[2]Data Entry'!$C40*'[2]Data Entry'!$C41</f>
        <v>0</v>
      </c>
      <c r="D141" s="228"/>
      <c r="E141" s="124">
        <f t="shared" si="75"/>
        <v>0</v>
      </c>
      <c r="F141" s="49"/>
      <c r="G141" s="222">
        <f t="shared" si="76"/>
        <v>0</v>
      </c>
      <c r="H141" s="49"/>
      <c r="I141" s="124">
        <f>'[2]Data Entry'!$C40*'[2]Data Entry'!$C41</f>
        <v>0</v>
      </c>
      <c r="J141" s="229"/>
      <c r="K141" s="45"/>
      <c r="L141" s="234">
        <f>'[2]Data Entry'!$C40*'[2]Data Entry'!$C41</f>
        <v>0</v>
      </c>
      <c r="M141" s="47"/>
      <c r="N141" s="47"/>
      <c r="O141" s="234">
        <f>'[2]Data Entry'!$C40*'[2]Data Entry'!$C41</f>
        <v>0</v>
      </c>
      <c r="P141" s="47"/>
      <c r="Q141" s="47"/>
      <c r="R141" s="234">
        <f>'[2]Data Entry'!$C40*'[2]Data Entry'!$C41</f>
        <v>0</v>
      </c>
      <c r="S141" s="47"/>
      <c r="T141" s="47"/>
      <c r="U141" s="234">
        <f>'[2]Data Entry'!$C40*'[2]Data Entry'!$C41</f>
        <v>0</v>
      </c>
      <c r="W141" s="47"/>
      <c r="X141" s="234">
        <f>'[2]Data Entry'!$C40*'[2]Data Entry'!$C41</f>
        <v>0</v>
      </c>
      <c r="Z141" s="231"/>
      <c r="AA141" s="126"/>
      <c r="AC141" s="126"/>
      <c r="AE141" s="126"/>
      <c r="AG141" s="126"/>
      <c r="AI141" s="126"/>
    </row>
    <row r="142" spans="2:39">
      <c r="B142" s="200" t="s">
        <v>346</v>
      </c>
      <c r="C142" s="124">
        <f>'TB Combined'!H83</f>
        <v>70065.009999999995</v>
      </c>
      <c r="D142" s="228"/>
      <c r="E142" s="124">
        <f t="shared" si="75"/>
        <v>69904.73</v>
      </c>
      <c r="F142" s="49"/>
      <c r="G142" s="222">
        <f t="shared" si="76"/>
        <v>160.27999999999884</v>
      </c>
      <c r="H142" s="49"/>
      <c r="I142" s="124">
        <f>'[2]Sources &amp; Uses'!$C31*'[2]Data Entry'!$C$31</f>
        <v>139809.46</v>
      </c>
      <c r="J142" s="47"/>
      <c r="K142" s="45"/>
      <c r="L142" s="234">
        <f>'[2]Sources &amp; Uses'!$C31*'[2]Data Entry'!$C$31</f>
        <v>139809.46</v>
      </c>
      <c r="M142" s="47"/>
      <c r="N142" s="47"/>
      <c r="O142" s="234">
        <f>'[2]Sources &amp; Uses'!$C31*'[2]Data Entry'!$C$31</f>
        <v>139809.46</v>
      </c>
      <c r="P142" s="47"/>
      <c r="Q142" s="47"/>
      <c r="R142" s="234">
        <f>'[2]Sources &amp; Uses'!$C31*'[2]Data Entry'!$C$31</f>
        <v>139809.46</v>
      </c>
      <c r="S142" s="47"/>
      <c r="T142" s="47"/>
      <c r="U142" s="234">
        <f>'[2]Sources &amp; Uses'!$C31*'[2]Data Entry'!$C$31</f>
        <v>139809.46</v>
      </c>
      <c r="W142" s="47"/>
      <c r="X142" s="234">
        <f>'[2]Sources &amp; Uses'!$C31*'[2]Data Entry'!$C$31</f>
        <v>139809.46</v>
      </c>
      <c r="Z142" s="231"/>
      <c r="AA142" s="126"/>
      <c r="AC142" s="126"/>
      <c r="AE142" s="126"/>
      <c r="AG142" s="126"/>
      <c r="AI142" s="126"/>
    </row>
    <row r="143" spans="2:39">
      <c r="B143" s="200" t="s">
        <v>347</v>
      </c>
      <c r="C143" s="124">
        <f>C135-C139-C142-C141-C140</f>
        <v>0</v>
      </c>
      <c r="D143" s="228"/>
      <c r="E143" s="124">
        <f t="shared" si="75"/>
        <v>0</v>
      </c>
      <c r="F143" s="49"/>
      <c r="G143" s="396">
        <f t="shared" si="76"/>
        <v>0</v>
      </c>
      <c r="H143" s="49"/>
      <c r="I143" s="124">
        <f>I135-I139-I142-I141-I140</f>
        <v>0</v>
      </c>
      <c r="J143" s="47"/>
      <c r="K143" s="45"/>
      <c r="L143" s="230">
        <f>L135-L139-L142-L141-L140</f>
        <v>0</v>
      </c>
      <c r="M143" s="47"/>
      <c r="O143" s="230">
        <f>O135-O139-O142-O141-O140</f>
        <v>0</v>
      </c>
      <c r="P143" s="47"/>
      <c r="R143" s="230">
        <f>R135-R139-R142-R141-R140</f>
        <v>0</v>
      </c>
      <c r="S143" s="47"/>
      <c r="U143" s="230">
        <f>U135-U139-U142-U141-U140</f>
        <v>0</v>
      </c>
      <c r="X143" s="230">
        <f>X135-X139-X142-X141-X140</f>
        <v>0</v>
      </c>
      <c r="Z143" s="231"/>
      <c r="AA143" s="126"/>
      <c r="AC143" s="126"/>
      <c r="AE143" s="126"/>
      <c r="AG143" s="126"/>
      <c r="AI143" s="126"/>
    </row>
    <row r="144" spans="2:39">
      <c r="B144" s="166" t="s">
        <v>384</v>
      </c>
      <c r="C144" s="136">
        <f>SUM(C139:C143)</f>
        <v>258602.85999999993</v>
      </c>
      <c r="E144" s="136">
        <f>SUM(E139:E143)</f>
        <v>213050.1372</v>
      </c>
      <c r="F144" s="49"/>
      <c r="G144" s="222">
        <f t="shared" si="76"/>
        <v>45552.72279999993</v>
      </c>
      <c r="H144" s="49"/>
      <c r="I144" s="136">
        <f>SUM(I139:I143)</f>
        <v>426100.27439999999</v>
      </c>
      <c r="J144" s="229"/>
      <c r="K144" s="45"/>
      <c r="L144" s="235">
        <f>SUM(L139:L143)</f>
        <v>711285.60114907287</v>
      </c>
      <c r="M144" s="47"/>
      <c r="O144" s="235">
        <f>SUM(O139:O143)</f>
        <v>804124.55964900902</v>
      </c>
      <c r="P144" s="47"/>
      <c r="R144" s="235">
        <f>SUM(R139:R143)</f>
        <v>948224.88853068277</v>
      </c>
      <c r="S144" s="47"/>
      <c r="U144" s="235">
        <f>SUM(U139:U143)</f>
        <v>845375.43254315201</v>
      </c>
      <c r="X144" s="235">
        <f>SUM(X139:X143)</f>
        <v>893326.64589268737</v>
      </c>
      <c r="Z144" s="231"/>
      <c r="AA144" s="126"/>
      <c r="AC144" s="126"/>
      <c r="AE144" s="126"/>
      <c r="AG144" s="126"/>
      <c r="AI144" s="126"/>
    </row>
    <row r="145" spans="1:38">
      <c r="B145" s="166"/>
      <c r="C145" s="124"/>
      <c r="E145" s="124"/>
      <c r="F145" s="49"/>
      <c r="G145" s="222"/>
      <c r="H145" s="49"/>
      <c r="I145" s="124"/>
      <c r="J145" s="229"/>
      <c r="K145" s="45"/>
      <c r="L145" s="234"/>
      <c r="M145" s="47"/>
      <c r="O145" s="234"/>
      <c r="P145" s="47"/>
      <c r="R145" s="234"/>
      <c r="S145" s="47"/>
      <c r="U145" s="234"/>
      <c r="X145" s="234"/>
      <c r="Z145" s="231"/>
      <c r="AA145" s="126"/>
      <c r="AC145" s="126"/>
      <c r="AE145" s="126"/>
      <c r="AG145" s="126"/>
      <c r="AI145" s="126"/>
    </row>
    <row r="146" spans="1:38" ht="10.5" thickBot="1">
      <c r="B146" s="166" t="s">
        <v>348</v>
      </c>
      <c r="C146" s="236">
        <f>C144</f>
        <v>258602.85999999993</v>
      </c>
      <c r="E146" s="236">
        <f>E144</f>
        <v>213050.1372</v>
      </c>
      <c r="G146" s="222">
        <f>G144</f>
        <v>45552.72279999993</v>
      </c>
      <c r="I146" s="236" t="s">
        <v>349</v>
      </c>
      <c r="L146" s="237">
        <f>'[2]Financial (2)'!J143</f>
        <v>0</v>
      </c>
      <c r="M146" s="238"/>
      <c r="N146" s="239"/>
      <c r="O146" s="237">
        <f>'[2]Financial (2)'!M143+L146</f>
        <v>0</v>
      </c>
      <c r="P146" s="238"/>
      <c r="Q146" s="239"/>
      <c r="R146" s="237">
        <f>'[2]Financial (2)'!P143+O146</f>
        <v>0</v>
      </c>
      <c r="S146" s="238"/>
      <c r="T146" s="239"/>
      <c r="U146" s="237">
        <f>'[2]Financial (2)'!S143+R146</f>
        <v>0</v>
      </c>
      <c r="V146" s="240"/>
      <c r="W146" s="239"/>
      <c r="X146" s="237">
        <f>'[2]Financial (2)'!V143+U146</f>
        <v>0</v>
      </c>
      <c r="Y146" s="240"/>
      <c r="Z146" s="241"/>
      <c r="AA146" s="126"/>
      <c r="AC146" s="126"/>
      <c r="AE146" s="126"/>
      <c r="AG146" s="126"/>
      <c r="AI146" s="126"/>
    </row>
    <row r="147" spans="1:38" s="219" customFormat="1" ht="18" hidden="1" customHeight="1" thickBot="1">
      <c r="A147" s="242"/>
      <c r="B147" s="243" t="s">
        <v>350</v>
      </c>
      <c r="C147" s="244"/>
      <c r="D147" s="244"/>
      <c r="E147" s="244"/>
      <c r="F147" s="245"/>
      <c r="G147" s="244"/>
      <c r="H147" s="244"/>
      <c r="I147" s="244"/>
      <c r="J147" s="244"/>
      <c r="K147" s="244"/>
      <c r="L147" s="246"/>
      <c r="M147" s="246"/>
      <c r="N147" s="246"/>
      <c r="O147" s="246"/>
      <c r="P147" s="246"/>
      <c r="Q147" s="246"/>
      <c r="R147" s="246"/>
      <c r="S147" s="246"/>
      <c r="T147" s="246"/>
      <c r="U147" s="246"/>
      <c r="V147" s="175"/>
      <c r="W147" s="175"/>
      <c r="X147" s="175"/>
      <c r="Y147" s="175"/>
      <c r="Z147" s="176"/>
      <c r="AA147" s="247"/>
      <c r="AB147" s="221"/>
      <c r="AC147" s="247"/>
      <c r="AD147" s="221"/>
      <c r="AE147" s="247"/>
      <c r="AF147" s="221"/>
      <c r="AG147" s="247"/>
      <c r="AH147" s="221"/>
      <c r="AI147" s="247"/>
      <c r="AJ147" s="221"/>
    </row>
    <row r="148" spans="1:38" ht="16" hidden="1" customHeight="1">
      <c r="A148" s="248"/>
      <c r="B148" s="249" t="s">
        <v>351</v>
      </c>
      <c r="C148" s="443">
        <f>'[2]Misc. Calculations'!D56</f>
        <v>0.23382581351101853</v>
      </c>
      <c r="D148" s="444"/>
      <c r="E148" s="250"/>
      <c r="F148" s="251"/>
      <c r="G148" s="251"/>
      <c r="H148" s="251"/>
      <c r="I148" s="251"/>
      <c r="J148" s="252"/>
      <c r="K148" s="252"/>
      <c r="L148" s="253"/>
      <c r="M148" s="253"/>
      <c r="N148" s="253"/>
      <c r="O148" s="254"/>
      <c r="P148" s="253"/>
      <c r="Q148" s="253"/>
      <c r="R148" s="254"/>
      <c r="S148" s="253"/>
      <c r="T148" s="253"/>
      <c r="U148" s="254"/>
      <c r="V148" s="255"/>
      <c r="W148" s="255"/>
      <c r="X148" s="256"/>
      <c r="Y148" s="255"/>
      <c r="Z148" s="257"/>
    </row>
    <row r="149" spans="1:38" ht="16" hidden="1" customHeight="1">
      <c r="A149" s="248"/>
      <c r="B149" s="258" t="s">
        <v>352</v>
      </c>
      <c r="C149" s="445">
        <f>'[2]Misc. Calculations'!C78</f>
        <v>0.18360578883211209</v>
      </c>
      <c r="D149" s="446"/>
      <c r="E149" s="259"/>
      <c r="F149" s="260"/>
      <c r="G149" s="260"/>
      <c r="H149" s="260"/>
      <c r="I149" s="260"/>
      <c r="J149" s="261"/>
      <c r="K149" s="261"/>
      <c r="L149" s="262"/>
      <c r="M149" s="262"/>
      <c r="N149" s="262"/>
      <c r="O149" s="263"/>
      <c r="P149" s="262"/>
      <c r="Q149" s="262"/>
      <c r="R149" s="263"/>
      <c r="S149" s="262"/>
      <c r="T149" s="262"/>
      <c r="U149" s="263"/>
      <c r="V149" s="264"/>
      <c r="W149" s="264"/>
      <c r="X149" s="265"/>
      <c r="Y149" s="266"/>
      <c r="Z149" s="267"/>
    </row>
    <row r="150" spans="1:38" ht="17.149999999999999" hidden="1" customHeight="1" thickBot="1">
      <c r="B150" s="268" t="s">
        <v>353</v>
      </c>
      <c r="C150" s="447">
        <f>('[2]Misc. Calculations'!C34+SUM('[2]Misc. Calculations'!D45:D49))/'[2]Misc. Calculations'!C35</f>
        <v>2.1691290675550925</v>
      </c>
      <c r="D150" s="448"/>
      <c r="E150" s="269"/>
      <c r="F150" s="270"/>
      <c r="G150" s="270"/>
      <c r="H150" s="270"/>
      <c r="I150" s="270"/>
      <c r="J150" s="271"/>
      <c r="K150" s="271"/>
      <c r="L150" s="272"/>
      <c r="M150" s="272"/>
      <c r="N150" s="272"/>
      <c r="O150" s="273"/>
      <c r="P150" s="272"/>
      <c r="Q150" s="272"/>
      <c r="R150" s="273"/>
      <c r="S150" s="272"/>
      <c r="T150" s="272"/>
      <c r="U150" s="273"/>
      <c r="V150" s="272"/>
      <c r="W150" s="272"/>
      <c r="X150" s="273"/>
      <c r="Y150" s="274"/>
      <c r="Z150" s="275"/>
    </row>
    <row r="151" spans="1:38" s="219" customFormat="1" ht="18" hidden="1" customHeight="1" thickBot="1">
      <c r="B151" s="442" t="s">
        <v>354</v>
      </c>
      <c r="C151" s="428"/>
      <c r="D151" s="428"/>
      <c r="E151" s="428"/>
      <c r="F151" s="428"/>
      <c r="G151" s="428"/>
      <c r="H151" s="428"/>
      <c r="I151" s="428"/>
      <c r="J151" s="428"/>
      <c r="K151" s="428"/>
      <c r="L151" s="428"/>
      <c r="M151" s="428"/>
      <c r="N151" s="428"/>
      <c r="O151" s="428"/>
      <c r="P151" s="428"/>
      <c r="Q151" s="428"/>
      <c r="R151" s="428"/>
      <c r="S151" s="428"/>
      <c r="T151" s="428"/>
      <c r="U151" s="428"/>
      <c r="V151" s="428"/>
      <c r="W151" s="428"/>
      <c r="X151" s="428"/>
      <c r="Y151" s="428"/>
      <c r="Z151" s="429"/>
      <c r="AA151" s="247"/>
      <c r="AB151" s="221"/>
      <c r="AC151" s="247"/>
      <c r="AD151" s="221"/>
      <c r="AE151" s="247"/>
      <c r="AF151" s="221"/>
      <c r="AG151" s="247"/>
      <c r="AH151" s="221"/>
      <c r="AI151" s="247"/>
      <c r="AJ151" s="221"/>
    </row>
    <row r="152" spans="1:38" hidden="1">
      <c r="B152" s="276" t="s">
        <v>355</v>
      </c>
      <c r="C152" s="277"/>
      <c r="D152" s="277"/>
      <c r="E152" s="277"/>
      <c r="F152" s="277"/>
      <c r="G152" s="394"/>
      <c r="H152" s="394"/>
      <c r="I152" s="278">
        <f>-'[2]Financial (2)'!G133/'[2]Financial (2)'!G134</f>
        <v>1.5969897980799945</v>
      </c>
      <c r="J152" s="279"/>
      <c r="K152" s="280"/>
      <c r="L152" s="278">
        <f>-'[2]Financial (2)'!J133/'[2]Financial (2)'!J134</f>
        <v>1.8606236914836509</v>
      </c>
      <c r="M152" s="279"/>
      <c r="N152" s="281"/>
      <c r="O152" s="278">
        <f>-'[2]Financial (2)'!M133/'[2]Financial (2)'!M134</f>
        <v>2.1225447143403677</v>
      </c>
      <c r="P152" s="279"/>
      <c r="Q152" s="281"/>
      <c r="R152" s="278">
        <f>-'[2]Financial (2)'!P133/'[2]Financial (2)'!P134</f>
        <v>2.3243148256896586</v>
      </c>
      <c r="S152" s="279"/>
      <c r="T152" s="281"/>
      <c r="U152" s="278">
        <f>-'[2]Financial (2)'!S133/'[2]Financial (2)'!S134</f>
        <v>1.9757837624082417</v>
      </c>
      <c r="V152" s="282"/>
      <c r="W152" s="281"/>
      <c r="X152" s="278">
        <f>-'[2]Financial (2)'!V133/'[2]Financial (2)'!V134</f>
        <v>2.031227558454928</v>
      </c>
      <c r="Y152" s="282"/>
      <c r="Z152" s="281"/>
    </row>
    <row r="153" spans="1:38" hidden="1">
      <c r="B153" s="283" t="s">
        <v>356</v>
      </c>
      <c r="C153" s="284"/>
      <c r="D153" s="285"/>
      <c r="E153" s="284"/>
      <c r="F153" s="284"/>
      <c r="G153" s="395"/>
      <c r="H153" s="395"/>
      <c r="I153" s="286">
        <f>'[2]Financial (2)'!G139/'[2]Sources &amp; Uses'!$C31</f>
        <v>3.2763541396984161E-2</v>
      </c>
      <c r="J153" s="287"/>
      <c r="K153" s="288"/>
      <c r="L153" s="289">
        <f>'[2]Financial (2)'!J139/'[2]Sources &amp; Uses'!$C31</f>
        <v>5.4297782544794664E-2</v>
      </c>
      <c r="M153" s="290"/>
      <c r="N153" s="288"/>
      <c r="O153" s="289">
        <f>'[2]Financial (2)'!M139/'[2]Sources &amp; Uses'!$C31</f>
        <v>7.5692112367332962E-2</v>
      </c>
      <c r="P153" s="290"/>
      <c r="Q153" s="288"/>
      <c r="R153" s="289">
        <f>'[2]Financial (2)'!P139/'[2]Sources &amp; Uses'!$C31</f>
        <v>9.2173173198018807E-2</v>
      </c>
      <c r="S153" s="290"/>
      <c r="T153" s="288"/>
      <c r="U153" s="289">
        <f>'[2]Financial (2)'!S139/'[2]Sources &amp; Uses'!$C31</f>
        <v>8.0392638072883701E-2</v>
      </c>
      <c r="V153" s="290"/>
      <c r="W153" s="288"/>
      <c r="X153" s="289">
        <f>'[2]Financial (2)'!V139/'[2]Sources &amp; Uses'!$C31</f>
        <v>8.5869644323249117E-2</v>
      </c>
      <c r="Y153" s="290"/>
      <c r="Z153" s="291"/>
      <c r="AA153" s="288">
        <f>'[2]Financial (2)'!Y139/'[2]Sources &amp; Uses'!$C31</f>
        <v>0</v>
      </c>
      <c r="AB153" s="289">
        <f>'[2]Financial (2)'!Z139/'[2]Sources &amp; Uses'!$C31</f>
        <v>0</v>
      </c>
      <c r="AC153" s="289">
        <f>'[2]Financial (2)'!AA139/'[2]Sources &amp; Uses'!$C31</f>
        <v>0</v>
      </c>
      <c r="AD153" s="289">
        <f>'[2]Financial (2)'!AB139/'[2]Sources &amp; Uses'!$C31</f>
        <v>0</v>
      </c>
      <c r="AE153" s="289">
        <f>'[2]Financial (2)'!AC139/'[2]Sources &amp; Uses'!$C31</f>
        <v>0</v>
      </c>
      <c r="AF153" s="289">
        <f>'[2]Financial (2)'!AD139/'[2]Sources &amp; Uses'!$C31</f>
        <v>0</v>
      </c>
      <c r="AG153" s="289">
        <f>'[2]Financial (2)'!AE139/'[2]Sources &amp; Uses'!$C31</f>
        <v>0</v>
      </c>
      <c r="AH153" s="289">
        <f>'[2]Financial (2)'!AF139/'[2]Sources &amp; Uses'!$C31</f>
        <v>0</v>
      </c>
      <c r="AI153" s="289">
        <f>'[2]Financial (2)'!AG139/'[2]Sources &amp; Uses'!$C31</f>
        <v>0</v>
      </c>
      <c r="AJ153" s="289">
        <f>'[2]Financial (2)'!AH139/'[2]Sources &amp; Uses'!$C31</f>
        <v>0</v>
      </c>
      <c r="AK153" s="289">
        <f>'[2]Financial (2)'!AI139/'[2]Sources &amp; Uses'!$C31</f>
        <v>0</v>
      </c>
      <c r="AL153" s="292"/>
    </row>
    <row r="154" spans="1:38" hidden="1">
      <c r="B154" s="293" t="s">
        <v>357</v>
      </c>
      <c r="C154" s="277"/>
      <c r="D154" s="277"/>
      <c r="E154" s="277"/>
      <c r="F154" s="277"/>
      <c r="G154" s="277"/>
      <c r="H154" s="277"/>
      <c r="I154" s="294">
        <f>'[2]Financial (2)'!G133/'[2]Data Entry'!$C$12</f>
        <v>6.6270248511627911E-2</v>
      </c>
      <c r="J154" s="295"/>
      <c r="K154" s="296"/>
      <c r="L154" s="294">
        <f>'[2]Financial (2)'!J133/'[2]Data Entry'!$C$12</f>
        <v>7.7210258055178657E-2</v>
      </c>
      <c r="M154" s="297"/>
      <c r="N154" s="298"/>
      <c r="O154" s="294">
        <f>'[2]Financial (2)'!M133/'[2]Data Entry'!$C$12</f>
        <v>8.8079188649477266E-2</v>
      </c>
      <c r="P154" s="297"/>
      <c r="Q154" s="298"/>
      <c r="R154" s="294">
        <f>'[2]Financial (2)'!P133/'[2]Data Entry'!$C$12</f>
        <v>9.6452038267810625E-2</v>
      </c>
      <c r="S154" s="297"/>
      <c r="T154" s="298"/>
      <c r="U154" s="294">
        <f>'[2]Financial (2)'!S133/'[2]Data Entry'!$C$12</f>
        <v>9.9155730849987217E-2</v>
      </c>
      <c r="V154" s="299"/>
      <c r="W154" s="298"/>
      <c r="X154" s="294">
        <f>'[2]Financial (2)'!V133/'[2]Data Entry'!$C$12</f>
        <v>0.10193820645420311</v>
      </c>
      <c r="Y154" s="299"/>
      <c r="Z154" s="298"/>
      <c r="AA154" s="126"/>
      <c r="AB154" s="127"/>
      <c r="AC154" s="126"/>
      <c r="AD154" s="127"/>
      <c r="AE154" s="126"/>
      <c r="AF154" s="127"/>
      <c r="AG154" s="126"/>
      <c r="AH154" s="127"/>
      <c r="AI154" s="126"/>
      <c r="AJ154" s="127"/>
    </row>
    <row r="155" spans="1:38" hidden="1">
      <c r="B155" s="283" t="s">
        <v>358</v>
      </c>
      <c r="C155" s="284"/>
      <c r="D155" s="284"/>
      <c r="E155" s="284"/>
      <c r="F155" s="284"/>
      <c r="G155" s="284"/>
      <c r="H155" s="284"/>
      <c r="I155" s="300" t="s">
        <v>349</v>
      </c>
      <c r="J155" s="301"/>
      <c r="K155" s="302"/>
      <c r="L155" s="303">
        <f>'[2]Financial (2)'!K17</f>
        <v>9.2455960072698115E-2</v>
      </c>
      <c r="M155" s="304"/>
      <c r="N155" s="305"/>
      <c r="O155" s="303">
        <f>'[2]Financial (2)'!N17</f>
        <v>8.5128437457647324E-2</v>
      </c>
      <c r="P155" s="304"/>
      <c r="Q155" s="305"/>
      <c r="R155" s="303">
        <f>'[2]Financial (2)'!Q17</f>
        <v>8.0803605872506692E-2</v>
      </c>
      <c r="S155" s="304"/>
      <c r="T155" s="305"/>
      <c r="U155" s="303">
        <f>'[2]Financial (2)'!T17</f>
        <v>0.03</v>
      </c>
      <c r="V155" s="306"/>
      <c r="W155" s="305"/>
      <c r="X155" s="303">
        <f>'[2]Financial (2)'!W17</f>
        <v>2.9999999999999919E-2</v>
      </c>
      <c r="Y155" s="306"/>
      <c r="Z155" s="305"/>
      <c r="AA155" s="126"/>
      <c r="AB155" s="127"/>
      <c r="AC155" s="126"/>
      <c r="AD155" s="127"/>
      <c r="AE155" s="126"/>
      <c r="AF155" s="127"/>
      <c r="AG155" s="126"/>
      <c r="AH155" s="127"/>
      <c r="AI155" s="126"/>
      <c r="AJ155" s="127"/>
    </row>
    <row r="156" spans="1:38" hidden="1">
      <c r="B156" s="293" t="s">
        <v>359</v>
      </c>
      <c r="C156" s="277"/>
      <c r="D156" s="277"/>
      <c r="E156" s="277"/>
      <c r="F156" s="277"/>
      <c r="G156" s="277"/>
      <c r="H156" s="277"/>
      <c r="I156" s="307">
        <f>+'[2]Misc. Calculations'!C59/'[2]Data Entry'!C12</f>
        <v>0.70813953488372094</v>
      </c>
      <c r="J156" s="308"/>
      <c r="K156" s="296"/>
      <c r="L156" s="309"/>
      <c r="M156" s="310"/>
      <c r="N156" s="311"/>
      <c r="O156" s="309"/>
      <c r="P156" s="310"/>
      <c r="Q156" s="311"/>
      <c r="R156" s="309"/>
      <c r="S156" s="310"/>
      <c r="T156" s="311"/>
      <c r="U156" s="309"/>
      <c r="V156" s="266"/>
      <c r="W156" s="311"/>
      <c r="X156" s="309"/>
      <c r="Y156" s="266"/>
      <c r="Z156" s="267"/>
      <c r="AA156" s="126"/>
      <c r="AB156" s="127"/>
      <c r="AC156" s="126"/>
      <c r="AD156" s="127"/>
      <c r="AE156" s="126"/>
      <c r="AF156" s="127"/>
      <c r="AG156" s="126"/>
      <c r="AH156" s="127"/>
      <c r="AI156" s="126"/>
      <c r="AJ156" s="127"/>
    </row>
    <row r="157" spans="1:38" ht="10.5" hidden="1" thickBot="1">
      <c r="B157" s="312" t="s">
        <v>360</v>
      </c>
      <c r="C157" s="284"/>
      <c r="D157" s="284"/>
      <c r="E157" s="284"/>
      <c r="F157" s="284"/>
      <c r="G157" s="395"/>
      <c r="H157" s="395"/>
      <c r="I157" s="313">
        <f>'[2]Misc. Calculations'!C59/'[2]Data Entry'!C20</f>
        <v>0.63535208547019162</v>
      </c>
      <c r="J157" s="314"/>
      <c r="K157" s="315"/>
      <c r="L157" s="316"/>
      <c r="M157" s="271"/>
      <c r="N157" s="317"/>
      <c r="O157" s="316"/>
      <c r="P157" s="271"/>
      <c r="Q157" s="317"/>
      <c r="R157" s="316"/>
      <c r="S157" s="271"/>
      <c r="T157" s="317"/>
      <c r="U157" s="316"/>
      <c r="V157" s="274"/>
      <c r="W157" s="317"/>
      <c r="X157" s="316"/>
      <c r="Y157" s="274"/>
      <c r="Z157" s="275"/>
    </row>
    <row r="158" spans="1:38" s="219" customFormat="1" ht="18" hidden="1" customHeight="1" thickBot="1">
      <c r="B158" s="427" t="s">
        <v>361</v>
      </c>
      <c r="C158" s="449"/>
      <c r="D158" s="449"/>
      <c r="E158" s="449"/>
      <c r="F158" s="449"/>
      <c r="G158" s="428"/>
      <c r="H158" s="428"/>
      <c r="I158" s="428"/>
      <c r="J158" s="428"/>
      <c r="K158" s="428"/>
      <c r="L158" s="428"/>
      <c r="M158" s="428"/>
      <c r="N158" s="428"/>
      <c r="O158" s="428"/>
      <c r="P158" s="428"/>
      <c r="Q158" s="428"/>
      <c r="R158" s="428"/>
      <c r="S158" s="428"/>
      <c r="T158" s="428"/>
      <c r="U158" s="428"/>
      <c r="V158" s="428"/>
      <c r="W158" s="428"/>
      <c r="X158" s="428"/>
      <c r="Y158" s="428"/>
      <c r="Z158" s="429"/>
      <c r="AA158" s="247"/>
      <c r="AB158" s="221"/>
      <c r="AC158" s="247"/>
      <c r="AD158" s="221"/>
      <c r="AE158" s="247"/>
      <c r="AF158" s="221"/>
      <c r="AG158" s="247"/>
      <c r="AH158" s="221"/>
      <c r="AI158" s="247"/>
      <c r="AJ158" s="221"/>
    </row>
    <row r="159" spans="1:38" ht="10.5" hidden="1">
      <c r="B159" s="318" t="s">
        <v>362</v>
      </c>
      <c r="C159" s="319"/>
      <c r="D159" s="320"/>
      <c r="E159" s="320"/>
      <c r="F159" s="320"/>
      <c r="G159" s="320"/>
      <c r="H159" s="320"/>
      <c r="I159" s="321"/>
      <c r="J159" s="322"/>
      <c r="K159" s="323"/>
      <c r="L159" s="323"/>
      <c r="M159" s="323"/>
      <c r="N159" s="323"/>
      <c r="O159" s="323"/>
      <c r="P159" s="323"/>
      <c r="Q159" s="323"/>
      <c r="R159" s="323"/>
      <c r="S159" s="323"/>
      <c r="T159" s="323"/>
      <c r="U159" s="323"/>
      <c r="V159" s="323"/>
      <c r="W159" s="323"/>
      <c r="X159" s="323"/>
      <c r="Y159" s="323"/>
      <c r="Z159" s="324"/>
      <c r="AA159" s="126" t="e">
        <f>#REF!*#REF!</f>
        <v>#REF!</v>
      </c>
      <c r="AB159" s="127"/>
      <c r="AC159" s="126" t="e">
        <f>#REF!*#REF!</f>
        <v>#REF!</v>
      </c>
      <c r="AD159" s="127"/>
      <c r="AE159" s="126" t="e">
        <f>#REF!*#REF!</f>
        <v>#REF!</v>
      </c>
      <c r="AF159" s="127"/>
      <c r="AG159" s="126" t="e">
        <f>#REF!*#REF!</f>
        <v>#REF!</v>
      </c>
      <c r="AH159" s="127"/>
      <c r="AI159" s="126" t="e">
        <f>#REF!*#REF!</f>
        <v>#REF!</v>
      </c>
      <c r="AJ159" s="127"/>
    </row>
    <row r="160" spans="1:38" hidden="1">
      <c r="B160" s="325" t="s">
        <v>363</v>
      </c>
      <c r="C160" s="326"/>
      <c r="D160" s="326"/>
      <c r="E160" s="326"/>
      <c r="F160" s="326"/>
      <c r="G160" s="333"/>
      <c r="H160" s="333"/>
      <c r="I160" s="327">
        <f>'[2]Data Entry'!$C24</f>
        <v>6.3200000000000006E-2</v>
      </c>
      <c r="J160" s="328"/>
      <c r="K160" s="329"/>
      <c r="L160" s="327">
        <f>'[2]Data Entry'!$C24</f>
        <v>6.3200000000000006E-2</v>
      </c>
      <c r="M160" s="328"/>
      <c r="N160" s="330"/>
      <c r="O160" s="327">
        <f>'[2]Data Entry'!$C24</f>
        <v>6.3200000000000006E-2</v>
      </c>
      <c r="P160" s="328"/>
      <c r="Q160" s="330"/>
      <c r="R160" s="327">
        <f>'[2]Data Entry'!$C24</f>
        <v>6.3200000000000006E-2</v>
      </c>
      <c r="S160" s="328"/>
      <c r="T160" s="330"/>
      <c r="U160" s="327">
        <f>'[2]Data Entry'!$C24</f>
        <v>6.3200000000000006E-2</v>
      </c>
      <c r="V160" s="331"/>
      <c r="W160" s="332"/>
      <c r="X160" s="327">
        <f>'[2]Data Entry'!$C24</f>
        <v>6.3200000000000006E-2</v>
      </c>
      <c r="Y160" s="333"/>
      <c r="Z160" s="332"/>
      <c r="AA160" s="126"/>
      <c r="AB160" s="127"/>
      <c r="AC160" s="126"/>
      <c r="AD160" s="127"/>
      <c r="AE160" s="126"/>
      <c r="AF160" s="127"/>
      <c r="AG160" s="126"/>
      <c r="AH160" s="127"/>
      <c r="AI160" s="126"/>
      <c r="AJ160" s="127"/>
    </row>
    <row r="161" spans="2:36" hidden="1">
      <c r="B161" s="334" t="s">
        <v>364</v>
      </c>
      <c r="C161" s="335"/>
      <c r="D161" s="335"/>
      <c r="E161" s="335"/>
      <c r="F161" s="335"/>
      <c r="G161" s="335"/>
      <c r="H161" s="335"/>
      <c r="I161" s="336">
        <f>+'[2]Financial (2)'!G133/I160</f>
        <v>18035573.962025315</v>
      </c>
      <c r="J161" s="337"/>
      <c r="K161" s="338"/>
      <c r="L161" s="336">
        <f>+'[2]Financial (2)'!J133/'[2]Data Entry'!$C24</f>
        <v>21012918.331472673</v>
      </c>
      <c r="M161" s="337"/>
      <c r="N161" s="339"/>
      <c r="O161" s="336">
        <f>+'[2]Financial (2)'!M133/'[2]Data Entry'!$C24</f>
        <v>23970918.429921024</v>
      </c>
      <c r="P161" s="337"/>
      <c r="Q161" s="339"/>
      <c r="R161" s="336">
        <f>+'[2]Financial (2)'!P133/'[2]Data Entry'!$C24</f>
        <v>26249605.351366177</v>
      </c>
      <c r="S161" s="337"/>
      <c r="T161" s="339"/>
      <c r="U161" s="336">
        <f>+'[2]Financial (2)'!S133/'[2]Data Entry'!$C24</f>
        <v>26985420.42119905</v>
      </c>
      <c r="V161" s="340"/>
      <c r="W161" s="341"/>
      <c r="X161" s="336">
        <f>+'[2]Financial (2)'!V133/'[2]Data Entry'!$C24</f>
        <v>27742676.440067932</v>
      </c>
      <c r="Y161" s="335"/>
      <c r="Z161" s="341"/>
      <c r="AA161" s="126"/>
      <c r="AB161" s="127"/>
      <c r="AC161" s="126"/>
      <c r="AD161" s="127"/>
      <c r="AE161" s="126"/>
      <c r="AF161" s="127"/>
      <c r="AG161" s="126"/>
      <c r="AH161" s="127"/>
      <c r="AI161" s="126"/>
      <c r="AJ161" s="127"/>
    </row>
    <row r="162" spans="2:36" hidden="1">
      <c r="B162" s="325" t="s">
        <v>365</v>
      </c>
      <c r="C162" s="326"/>
      <c r="D162" s="326"/>
      <c r="E162" s="326"/>
      <c r="F162" s="326"/>
      <c r="G162" s="326"/>
      <c r="H162" s="326"/>
      <c r="I162" s="342">
        <f>I161/'[2]Data Entry'!C11</f>
        <v>219946.02392713798</v>
      </c>
      <c r="J162" s="343"/>
      <c r="K162" s="344"/>
      <c r="L162" s="345">
        <f>+L161/'[2]Data Entry'!$C$11</f>
        <v>256255.10160332528</v>
      </c>
      <c r="M162" s="343"/>
      <c r="N162" s="346"/>
      <c r="O162" s="345">
        <f>+O161/'[2]Data Entry'!$C$11</f>
        <v>292328.27353562223</v>
      </c>
      <c r="P162" s="343"/>
      <c r="Q162" s="346"/>
      <c r="R162" s="345">
        <f>+R161/'[2]Data Entry'!$C$11</f>
        <v>320117.13843129482</v>
      </c>
      <c r="S162" s="343"/>
      <c r="T162" s="346"/>
      <c r="U162" s="345">
        <f>+U161/'[2]Data Entry'!$C$11</f>
        <v>329090.49294145184</v>
      </c>
      <c r="V162" s="347"/>
      <c r="W162" s="348"/>
      <c r="X162" s="345">
        <f>+X161/'[2]Data Entry'!$C$11</f>
        <v>338325.32243985281</v>
      </c>
      <c r="Y162" s="326"/>
      <c r="Z162" s="348"/>
      <c r="AA162" s="126"/>
      <c r="AB162" s="127"/>
      <c r="AC162" s="126"/>
      <c r="AD162" s="127"/>
      <c r="AE162" s="126"/>
      <c r="AF162" s="127"/>
      <c r="AG162" s="126"/>
      <c r="AH162" s="127"/>
      <c r="AI162" s="126"/>
      <c r="AJ162" s="127"/>
    </row>
    <row r="163" spans="2:36" ht="10.5" hidden="1">
      <c r="B163" s="349" t="s">
        <v>366</v>
      </c>
      <c r="C163" s="335"/>
      <c r="D163" s="335"/>
      <c r="E163" s="335"/>
      <c r="F163" s="335"/>
      <c r="G163" s="335"/>
      <c r="H163" s="335"/>
      <c r="I163" s="350"/>
      <c r="J163" s="351"/>
      <c r="K163" s="351"/>
      <c r="L163" s="352"/>
      <c r="M163" s="351"/>
      <c r="N163" s="353"/>
      <c r="O163" s="352"/>
      <c r="P163" s="351"/>
      <c r="Q163" s="353"/>
      <c r="R163" s="352"/>
      <c r="S163" s="351"/>
      <c r="T163" s="353"/>
      <c r="U163" s="352"/>
      <c r="V163" s="354"/>
      <c r="W163" s="355"/>
      <c r="X163" s="352"/>
      <c r="Y163" s="355"/>
      <c r="Z163" s="356"/>
      <c r="AA163" s="126"/>
      <c r="AB163" s="127"/>
      <c r="AC163" s="126"/>
      <c r="AD163" s="127"/>
      <c r="AE163" s="126"/>
      <c r="AF163" s="127"/>
      <c r="AG163" s="126"/>
      <c r="AH163" s="127"/>
      <c r="AI163" s="126"/>
      <c r="AJ163" s="127"/>
    </row>
    <row r="164" spans="2:36" hidden="1">
      <c r="B164" s="325" t="s">
        <v>367</v>
      </c>
      <c r="C164" s="326"/>
      <c r="D164" s="326"/>
      <c r="E164" s="326"/>
      <c r="F164" s="326"/>
      <c r="G164" s="333"/>
      <c r="H164" s="333"/>
      <c r="I164" s="357">
        <f>'[2]Data Entry'!$C$25</f>
        <v>6.3200000000000006E-2</v>
      </c>
      <c r="J164" s="328"/>
      <c r="K164" s="329"/>
      <c r="L164" s="357">
        <f>'[2]Data Entry'!$C$25</f>
        <v>6.3200000000000006E-2</v>
      </c>
      <c r="M164" s="328"/>
      <c r="N164" s="330"/>
      <c r="O164" s="357">
        <f>'[2]Data Entry'!$C$25</f>
        <v>6.3200000000000006E-2</v>
      </c>
      <c r="P164" s="328"/>
      <c r="Q164" s="330"/>
      <c r="R164" s="357">
        <f>'[2]Data Entry'!$C$25</f>
        <v>6.3200000000000006E-2</v>
      </c>
      <c r="S164" s="328"/>
      <c r="T164" s="330"/>
      <c r="U164" s="357">
        <f>'[2]Data Entry'!$C$25</f>
        <v>6.3200000000000006E-2</v>
      </c>
      <c r="V164" s="331"/>
      <c r="W164" s="332"/>
      <c r="X164" s="357">
        <f>'[2]Data Entry'!$C$25</f>
        <v>6.3200000000000006E-2</v>
      </c>
      <c r="Y164" s="333"/>
      <c r="Z164" s="332"/>
      <c r="AA164" s="126"/>
      <c r="AB164" s="127"/>
      <c r="AC164" s="126"/>
      <c r="AD164" s="127"/>
      <c r="AE164" s="126"/>
      <c r="AF164" s="127"/>
      <c r="AG164" s="126"/>
      <c r="AH164" s="127"/>
      <c r="AI164" s="126"/>
      <c r="AJ164" s="127"/>
    </row>
    <row r="165" spans="2:36" hidden="1">
      <c r="B165" s="334" t="s">
        <v>364</v>
      </c>
      <c r="C165" s="335"/>
      <c r="D165" s="335"/>
      <c r="E165" s="335"/>
      <c r="F165" s="335"/>
      <c r="G165" s="335"/>
      <c r="H165" s="335"/>
      <c r="I165" s="336">
        <f>'[2]Financial (2)'!G133/'[2]Data Entry'!$C25</f>
        <v>18035573.962025315</v>
      </c>
      <c r="J165" s="337"/>
      <c r="K165" s="338"/>
      <c r="L165" s="358">
        <f>'[2]Financial (2)'!J133/'[2]Data Entry'!$C25</f>
        <v>21012918.331472673</v>
      </c>
      <c r="M165" s="337"/>
      <c r="N165" s="339"/>
      <c r="O165" s="358">
        <f>'[2]Financial (2)'!M133/'[2]Data Entry'!$C25</f>
        <v>23970918.429921024</v>
      </c>
      <c r="P165" s="337"/>
      <c r="Q165" s="339"/>
      <c r="R165" s="358">
        <f>'[2]Financial (2)'!P133/'[2]Data Entry'!$C25</f>
        <v>26249605.351366177</v>
      </c>
      <c r="S165" s="337"/>
      <c r="T165" s="339"/>
      <c r="U165" s="358">
        <f>'[2]Financial (2)'!S133/'[2]Data Entry'!$C25</f>
        <v>26985420.42119905</v>
      </c>
      <c r="V165" s="340"/>
      <c r="W165" s="341"/>
      <c r="X165" s="358">
        <f>'[2]Financial (2)'!V133/'[2]Data Entry'!$C25</f>
        <v>27742676.440067932</v>
      </c>
      <c r="Y165" s="335"/>
      <c r="Z165" s="341"/>
      <c r="AA165" s="126"/>
      <c r="AB165" s="127"/>
      <c r="AC165" s="126"/>
      <c r="AD165" s="127"/>
      <c r="AE165" s="126"/>
      <c r="AF165" s="127"/>
      <c r="AG165" s="126"/>
      <c r="AH165" s="127"/>
      <c r="AI165" s="126"/>
      <c r="AJ165" s="127"/>
    </row>
    <row r="166" spans="2:36" ht="10.5" hidden="1" thickBot="1">
      <c r="B166" s="325" t="s">
        <v>365</v>
      </c>
      <c r="C166" s="326"/>
      <c r="D166" s="326"/>
      <c r="E166" s="326"/>
      <c r="F166" s="326"/>
      <c r="G166" s="326"/>
      <c r="H166" s="326"/>
      <c r="I166" s="359">
        <f>I165/'[2]Data Entry'!$C11</f>
        <v>219946.02392713798</v>
      </c>
      <c r="J166" s="360"/>
      <c r="K166" s="361"/>
      <c r="L166" s="362">
        <f>L165/'[2]Data Entry'!$C11</f>
        <v>256255.10160332528</v>
      </c>
      <c r="M166" s="360"/>
      <c r="N166" s="363"/>
      <c r="O166" s="362">
        <f>O165/'[2]Data Entry'!$C11</f>
        <v>292328.27353562223</v>
      </c>
      <c r="P166" s="360"/>
      <c r="Q166" s="363"/>
      <c r="R166" s="362">
        <f>R165/'[2]Data Entry'!$C11</f>
        <v>320117.13843129482</v>
      </c>
      <c r="S166" s="360"/>
      <c r="T166" s="363"/>
      <c r="U166" s="362">
        <f>U165/'[2]Data Entry'!$C11</f>
        <v>329090.49294145184</v>
      </c>
      <c r="V166" s="364"/>
      <c r="W166" s="365"/>
      <c r="X166" s="359">
        <f>X165/'[2]Data Entry'!$C11</f>
        <v>338325.32243985281</v>
      </c>
      <c r="Y166" s="366"/>
      <c r="Z166" s="365"/>
      <c r="AA166" s="46" t="e">
        <f>#REF!*#REF!</f>
        <v>#REF!</v>
      </c>
      <c r="AB166" s="127"/>
      <c r="AC166" s="46" t="e">
        <f>#REF!*#REF!</f>
        <v>#REF!</v>
      </c>
      <c r="AD166" s="127"/>
      <c r="AE166" s="46" t="e">
        <f>#REF!*#REF!</f>
        <v>#REF!</v>
      </c>
      <c r="AF166" s="127"/>
      <c r="AG166" s="46" t="e">
        <f>#REF!*#REF!</f>
        <v>#REF!</v>
      </c>
      <c r="AH166" s="127"/>
      <c r="AI166" s="46" t="e">
        <f>#REF!*#REF!</f>
        <v>#REF!</v>
      </c>
      <c r="AJ166" s="127"/>
    </row>
    <row r="167" spans="2:36" s="219" customFormat="1" ht="18" hidden="1" customHeight="1" thickBot="1">
      <c r="B167" s="427" t="s">
        <v>368</v>
      </c>
      <c r="C167" s="428"/>
      <c r="D167" s="428"/>
      <c r="E167" s="428"/>
      <c r="F167" s="428"/>
      <c r="G167" s="428"/>
      <c r="H167" s="428"/>
      <c r="I167" s="428"/>
      <c r="J167" s="428"/>
      <c r="K167" s="428"/>
      <c r="L167" s="428"/>
      <c r="M167" s="428"/>
      <c r="N167" s="428"/>
      <c r="O167" s="428"/>
      <c r="P167" s="428"/>
      <c r="Q167" s="428"/>
      <c r="R167" s="428"/>
      <c r="S167" s="428"/>
      <c r="T167" s="428"/>
      <c r="U167" s="428"/>
      <c r="V167" s="428"/>
      <c r="W167" s="428"/>
      <c r="X167" s="428"/>
      <c r="Y167" s="428"/>
      <c r="Z167" s="429"/>
      <c r="AA167" s="247"/>
      <c r="AB167" s="367"/>
      <c r="AC167" s="247"/>
      <c r="AD167" s="367"/>
      <c r="AE167" s="247"/>
      <c r="AF167" s="367"/>
      <c r="AG167" s="247"/>
      <c r="AH167" s="367"/>
      <c r="AI167" s="247"/>
      <c r="AJ167" s="367"/>
    </row>
    <row r="168" spans="2:36" hidden="1">
      <c r="B168" s="368" t="s">
        <v>369</v>
      </c>
      <c r="C168" s="369"/>
      <c r="D168" s="369"/>
      <c r="E168" s="369"/>
      <c r="F168" s="369"/>
      <c r="G168" s="369"/>
      <c r="H168" s="369"/>
      <c r="I168" s="370">
        <f>'[2]Financial (2)'!G130/'[2]Financial (2)'!G85</f>
        <v>0.38513577058704401</v>
      </c>
      <c r="J168" s="279"/>
      <c r="K168" s="371"/>
      <c r="L168" s="370">
        <f>'[2]Financial (2)'!J130/'[2]Financial (2)'!J85</f>
        <v>0.35947107206319262</v>
      </c>
      <c r="M168" s="279"/>
      <c r="N168" s="372"/>
      <c r="O168" s="370">
        <f>'[2]Financial (2)'!M130/'[2]Financial (2)'!M85</f>
        <v>0.33923108920916933</v>
      </c>
      <c r="P168" s="279"/>
      <c r="Q168" s="372"/>
      <c r="R168" s="370">
        <f>'[2]Financial (2)'!P130/'[2]Financial (2)'!P85</f>
        <v>0.32747753939679597</v>
      </c>
      <c r="S168" s="279"/>
      <c r="T168" s="372"/>
      <c r="U168" s="370">
        <f>'[2]Financial (2)'!S130/'[2]Financial (2)'!S85</f>
        <v>0.32792599139972312</v>
      </c>
      <c r="V168" s="282"/>
      <c r="W168" s="373"/>
      <c r="X168" s="370">
        <f>'[2]Financial (2)'!V130/'[2]Financial (2)'!V85</f>
        <v>0.32836717134993071</v>
      </c>
      <c r="Y168" s="374"/>
      <c r="Z168" s="373"/>
      <c r="AB168" s="127"/>
      <c r="AD168" s="127"/>
      <c r="AF168" s="127"/>
      <c r="AH168" s="127"/>
      <c r="AJ168" s="127"/>
    </row>
    <row r="169" spans="2:36" hidden="1">
      <c r="B169" s="375" t="s">
        <v>370</v>
      </c>
      <c r="C169" s="326"/>
      <c r="D169" s="326"/>
      <c r="E169" s="326"/>
      <c r="F169" s="326"/>
      <c r="G169" s="326"/>
      <c r="H169" s="326"/>
      <c r="I169" s="342">
        <f>'[2]Financial (2)'!G130/'[2]Data Entry'!$C11</f>
        <v>8894.8981170731695</v>
      </c>
      <c r="J169" s="343"/>
      <c r="K169" s="344"/>
      <c r="L169" s="345">
        <f>'[2]Financial (2)'!J130/'[2]Data Entry'!$C11</f>
        <v>9257.3355803355153</v>
      </c>
      <c r="M169" s="343"/>
      <c r="N169" s="346"/>
      <c r="O169" s="345">
        <f>'[2]Financial (2)'!M130/'[2]Data Entry'!$C11</f>
        <v>9638.9424875778259</v>
      </c>
      <c r="P169" s="343"/>
      <c r="Q169" s="346"/>
      <c r="R169" s="345">
        <f>'[2]Financial (2)'!P130/'[2]Data Entry'!$C11</f>
        <v>9997.5447325893529</v>
      </c>
      <c r="S169" s="343"/>
      <c r="T169" s="346"/>
      <c r="U169" s="345">
        <f>'[2]Financial (2)'!S130/'[2]Data Entry'!$C11</f>
        <v>10294.629344494746</v>
      </c>
      <c r="V169" s="347"/>
      <c r="W169" s="348"/>
      <c r="X169" s="345">
        <f>'[2]Financial (2)'!V130/'[2]Data Entry'!$C11</f>
        <v>10600.598077456581</v>
      </c>
      <c r="Y169" s="326"/>
      <c r="Z169" s="348"/>
      <c r="AA169" s="46">
        <f>AA85*0.02</f>
        <v>55972.650863807488</v>
      </c>
      <c r="AB169" s="127"/>
      <c r="AC169" s="46">
        <f>AC85*0.02</f>
        <v>56934.136674173118</v>
      </c>
      <c r="AD169" s="127"/>
      <c r="AE169" s="46">
        <f>AE85*0.02</f>
        <v>57914.848135123895</v>
      </c>
      <c r="AF169" s="127"/>
      <c r="AG169" s="46">
        <f>AG85*0.02</f>
        <v>58915.169719015277</v>
      </c>
      <c r="AH169" s="127"/>
      <c r="AI169" s="46">
        <f>AI85*0.02</f>
        <v>59935.493587243276</v>
      </c>
      <c r="AJ169" s="127"/>
    </row>
    <row r="170" spans="2:36" ht="10.5" hidden="1" thickBot="1">
      <c r="B170" s="376" t="s">
        <v>371</v>
      </c>
      <c r="C170" s="377"/>
      <c r="D170" s="377"/>
      <c r="E170" s="377"/>
      <c r="F170" s="377"/>
      <c r="G170" s="377"/>
      <c r="H170" s="377"/>
      <c r="I170" s="378">
        <f>+('[2]Financial (2)'!G105+'[2]Financial (2)'!G106+'[2]Financial (2)'!G132)/'[2]Data Entry'!$C$11</f>
        <v>915</v>
      </c>
      <c r="J170" s="379"/>
      <c r="K170" s="380"/>
      <c r="L170" s="378">
        <f>+('[2]Financial (2)'!J105+'[2]Financial (2)'!J106+'[2]Financial (2)'!J132)/'[2]Data Entry'!$C$11</f>
        <v>933.44999999999993</v>
      </c>
      <c r="M170" s="379"/>
      <c r="N170" s="381"/>
      <c r="O170" s="378">
        <f>+('[2]Financial (2)'!M105+'[2]Financial (2)'!M106+'[2]Financial (2)'!M132)/'[2]Data Entry'!$C$11</f>
        <v>952.45350000000008</v>
      </c>
      <c r="P170" s="379"/>
      <c r="Q170" s="381"/>
      <c r="R170" s="378">
        <f>+('[2]Financial (2)'!P105+'[2]Financial (2)'!P106+'[2]Financial (2)'!P132)/'[2]Data Entry'!$C$11</f>
        <v>972.02710500000001</v>
      </c>
      <c r="S170" s="379"/>
      <c r="T170" s="381"/>
      <c r="U170" s="378">
        <f>+('[2]Financial (2)'!S105+'[2]Financial (2)'!S106+'[2]Financial (2)'!S132)/'[2]Data Entry'!$C$11</f>
        <v>992.18791814999997</v>
      </c>
      <c r="V170" s="382"/>
      <c r="W170" s="383"/>
      <c r="X170" s="378">
        <f>+('[2]Financial (2)'!V105+'[2]Financial (2)'!V106+'[2]Financial (2)'!V132)/'[2]Data Entry'!$C$11</f>
        <v>1012.9535556945001</v>
      </c>
      <c r="Y170" s="377"/>
      <c r="Z170" s="383"/>
      <c r="AA170" s="46" t="e">
        <f>#REF!-AA159-AA169-AA166-#REF!</f>
        <v>#REF!</v>
      </c>
      <c r="AB170" s="127"/>
      <c r="AC170" s="46" t="e">
        <f>#REF!-AC159-AC169-AC166-#REF!</f>
        <v>#REF!</v>
      </c>
      <c r="AD170" s="127"/>
      <c r="AE170" s="46" t="e">
        <f>#REF!-AE159-AE169-AE166-#REF!</f>
        <v>#REF!</v>
      </c>
      <c r="AF170" s="127"/>
      <c r="AG170" s="46" t="e">
        <f>#REF!-AG159-AG169-AG166-#REF!</f>
        <v>#REF!</v>
      </c>
      <c r="AH170" s="127"/>
      <c r="AI170" s="46" t="e">
        <f>#REF!-AI159-AI169-AI166-#REF!</f>
        <v>#REF!</v>
      </c>
      <c r="AJ170" s="127"/>
    </row>
    <row r="171" spans="2:36">
      <c r="J171" s="43"/>
      <c r="K171" s="43"/>
      <c r="M171" s="43"/>
      <c r="N171" s="43"/>
      <c r="P171" s="43"/>
      <c r="Q171" s="43"/>
      <c r="S171" s="43"/>
      <c r="T171" s="43"/>
      <c r="U171" s="43"/>
      <c r="V171" s="43"/>
      <c r="W171" s="43"/>
      <c r="X171" s="43"/>
      <c r="Y171" s="43"/>
      <c r="Z171" s="43"/>
    </row>
    <row r="172" spans="2:36">
      <c r="B172" s="43" t="s">
        <v>391</v>
      </c>
      <c r="C172" s="397">
        <f>(-C138)/('TB Combined'!D23)</f>
        <v>3.5473643347050741E-2</v>
      </c>
      <c r="J172" s="43"/>
      <c r="K172" s="43"/>
      <c r="M172" s="43"/>
      <c r="N172" s="43"/>
      <c r="P172" s="43"/>
      <c r="Q172" s="43"/>
      <c r="S172" s="43"/>
      <c r="T172" s="43"/>
      <c r="U172" s="43"/>
      <c r="V172" s="43"/>
      <c r="W172" s="43"/>
      <c r="X172" s="43"/>
      <c r="Y172" s="43"/>
      <c r="Z172" s="43"/>
    </row>
    <row r="173" spans="2:36">
      <c r="B173" s="43" t="s">
        <v>392</v>
      </c>
      <c r="C173" s="397">
        <f>(-C138*2)/('TB Combined'!D23)</f>
        <v>7.0947286694101483E-2</v>
      </c>
      <c r="J173" s="43"/>
      <c r="K173" s="43"/>
      <c r="M173" s="43"/>
      <c r="N173" s="43"/>
      <c r="P173" s="43"/>
      <c r="Q173" s="43"/>
      <c r="S173" s="43"/>
      <c r="T173" s="43"/>
      <c r="U173" s="43"/>
      <c r="V173" s="43"/>
      <c r="W173" s="43"/>
      <c r="X173" s="43"/>
      <c r="Y173" s="43"/>
      <c r="Z173" s="43"/>
    </row>
    <row r="174" spans="2:36" ht="10.5" thickBot="1">
      <c r="J174" s="43"/>
      <c r="K174" s="43"/>
      <c r="M174" s="43"/>
      <c r="N174" s="43"/>
      <c r="P174" s="43"/>
      <c r="Q174" s="43"/>
      <c r="S174" s="43"/>
      <c r="T174" s="43"/>
      <c r="U174" s="43"/>
      <c r="V174" s="43"/>
      <c r="W174" s="43"/>
      <c r="X174" s="43"/>
      <c r="Y174" s="43"/>
      <c r="Z174" s="43"/>
    </row>
    <row r="175" spans="2:36">
      <c r="B175" s="398" t="s">
        <v>389</v>
      </c>
      <c r="C175" s="399">
        <f>(-C139)/('TB Combined'!D23)</f>
        <v>2.0690024691358017E-2</v>
      </c>
      <c r="X175" s="47"/>
    </row>
    <row r="176" spans="2:36" ht="10.5" thickBot="1">
      <c r="B176" s="400" t="s">
        <v>390</v>
      </c>
      <c r="C176" s="401">
        <f>(-C139*2)/('TB Combined'!D23)</f>
        <v>4.1380049382716035E-2</v>
      </c>
    </row>
  </sheetData>
  <mergeCells count="22">
    <mergeCell ref="A1:A11"/>
    <mergeCell ref="B2:B9"/>
    <mergeCell ref="I2:L2"/>
    <mergeCell ref="N2:Y2"/>
    <mergeCell ref="I3:K3"/>
    <mergeCell ref="I4:K4"/>
    <mergeCell ref="I5:K5"/>
    <mergeCell ref="I7:K7"/>
    <mergeCell ref="I8:K8"/>
    <mergeCell ref="I9:K9"/>
    <mergeCell ref="B167:Z167"/>
    <mergeCell ref="C12:F12"/>
    <mergeCell ref="I12:K12"/>
    <mergeCell ref="L12:Z12"/>
    <mergeCell ref="B18:Z18"/>
    <mergeCell ref="B87:Z87"/>
    <mergeCell ref="B137:Z137"/>
    <mergeCell ref="C148:D148"/>
    <mergeCell ref="C149:D149"/>
    <mergeCell ref="C150:D150"/>
    <mergeCell ref="B151:Z151"/>
    <mergeCell ref="B158:Z158"/>
  </mergeCells>
  <conditionalFormatting sqref="C135">
    <cfRule type="cellIs" dxfId="12" priority="3" operator="lessThan">
      <formula>0</formula>
    </cfRule>
  </conditionalFormatting>
  <conditionalFormatting sqref="C143">
    <cfRule type="cellIs" dxfId="11" priority="5" operator="lessThan">
      <formula>0</formula>
    </cfRule>
  </conditionalFormatting>
  <conditionalFormatting sqref="E135">
    <cfRule type="cellIs" dxfId="10" priority="2" operator="lessThan">
      <formula>0</formula>
    </cfRule>
  </conditionalFormatting>
  <conditionalFormatting sqref="E143">
    <cfRule type="cellIs" dxfId="9" priority="4" operator="lessThan">
      <formula>0</formula>
    </cfRule>
  </conditionalFormatting>
  <conditionalFormatting sqref="G135">
    <cfRule type="cellIs" dxfId="8" priority="1" operator="lessThan">
      <formula>0</formula>
    </cfRule>
  </conditionalFormatting>
  <conditionalFormatting sqref="I135 L135 O135 R135 U135 X135">
    <cfRule type="cellIs" dxfId="7" priority="12" operator="lessThan">
      <formula>0</formula>
    </cfRule>
  </conditionalFormatting>
  <conditionalFormatting sqref="I143">
    <cfRule type="cellIs" dxfId="6" priority="13" operator="lessThan">
      <formula>0</formula>
    </cfRule>
  </conditionalFormatting>
  <conditionalFormatting sqref="L143">
    <cfRule type="cellIs" dxfId="5" priority="10" operator="lessThan">
      <formula>0</formula>
    </cfRule>
  </conditionalFormatting>
  <conditionalFormatting sqref="L146 O146 R146 U146 X146">
    <cfRule type="cellIs" dxfId="4" priority="11" operator="lessThan">
      <formula>0</formula>
    </cfRule>
  </conditionalFormatting>
  <conditionalFormatting sqref="O143">
    <cfRule type="cellIs" dxfId="3" priority="9" operator="lessThan">
      <formula>0</formula>
    </cfRule>
  </conditionalFormatting>
  <conditionalFormatting sqref="R143">
    <cfRule type="cellIs" dxfId="2" priority="8" operator="lessThan">
      <formula>0</formula>
    </cfRule>
  </conditionalFormatting>
  <conditionalFormatting sqref="U143">
    <cfRule type="cellIs" dxfId="1" priority="7" operator="lessThan">
      <formula>0</formula>
    </cfRule>
  </conditionalFormatting>
  <conditionalFormatting sqref="X143">
    <cfRule type="cellIs" dxfId="0" priority="6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topLeftCell="A68" zoomScale="120" zoomScaleNormal="120" workbookViewId="0">
      <selection activeCell="B87" sqref="B87"/>
    </sheetView>
  </sheetViews>
  <sheetFormatPr defaultColWidth="8.25" defaultRowHeight="13.5"/>
  <cols>
    <col min="1" max="1" width="64.33203125" style="15" customWidth="1"/>
    <col min="2" max="2" width="17.1640625" style="15" customWidth="1"/>
    <col min="3" max="3" width="15.08203125" style="15" bestFit="1" customWidth="1"/>
    <col min="4" max="4" width="9.1640625" style="15" bestFit="1" customWidth="1"/>
    <col min="5" max="16384" width="8.25" style="15"/>
  </cols>
  <sheetData>
    <row r="1" spans="1:4" ht="17.5">
      <c r="A1" s="466" t="s">
        <v>124</v>
      </c>
      <c r="B1" s="467"/>
    </row>
    <row r="2" spans="1:4" ht="17.5">
      <c r="A2" s="466" t="s">
        <v>125</v>
      </c>
      <c r="B2" s="467"/>
    </row>
    <row r="3" spans="1:4" ht="15">
      <c r="A3" s="464" t="s">
        <v>461</v>
      </c>
      <c r="B3" s="465"/>
    </row>
    <row r="4" spans="1:4">
      <c r="A4" s="14"/>
      <c r="B4" s="14"/>
    </row>
    <row r="5" spans="1:4">
      <c r="A5" s="16"/>
      <c r="B5" s="17"/>
    </row>
    <row r="6" spans="1:4">
      <c r="A6" s="18" t="s">
        <v>93</v>
      </c>
      <c r="B6" s="19"/>
    </row>
    <row r="7" spans="1:4" ht="14.25" customHeight="1">
      <c r="A7" s="20" t="s">
        <v>126</v>
      </c>
      <c r="B7" s="21">
        <f>'TB Combined'!H5+'TB Combined'!H6</f>
        <v>1178469.83</v>
      </c>
    </row>
    <row r="8" spans="1:4">
      <c r="A8" s="20" t="s">
        <v>127</v>
      </c>
      <c r="B8" s="21">
        <f>'TB Combined'!H7</f>
        <v>49276.859999999986</v>
      </c>
    </row>
    <row r="9" spans="1:4">
      <c r="A9" s="20" t="s">
        <v>128</v>
      </c>
      <c r="B9" s="21">
        <f>'TB Combined'!H10</f>
        <v>60248.17000000002</v>
      </c>
    </row>
    <row r="10" spans="1:4">
      <c r="A10" s="20" t="s">
        <v>129</v>
      </c>
      <c r="B10" s="21">
        <f>'TB Combined'!H11</f>
        <v>0</v>
      </c>
    </row>
    <row r="11" spans="1:4">
      <c r="A11" s="20" t="s">
        <v>130</v>
      </c>
      <c r="B11" s="21">
        <f>'TB Combined'!H12</f>
        <v>0</v>
      </c>
    </row>
    <row r="12" spans="1:4">
      <c r="A12" s="20" t="s">
        <v>131</v>
      </c>
      <c r="B12" s="21">
        <f>'TB Combined'!H13</f>
        <v>17627868.43</v>
      </c>
    </row>
    <row r="13" spans="1:4">
      <c r="A13" s="20" t="s">
        <v>132</v>
      </c>
      <c r="B13" s="21">
        <f>'TB Combined'!H14</f>
        <v>168204.20000000004</v>
      </c>
    </row>
    <row r="14" spans="1:4">
      <c r="A14" s="20" t="s">
        <v>133</v>
      </c>
      <c r="B14" s="21">
        <f>'TB Combined'!H15</f>
        <v>99209.460000000021</v>
      </c>
    </row>
    <row r="15" spans="1:4">
      <c r="A15" s="20" t="s">
        <v>173</v>
      </c>
      <c r="B15" s="21">
        <f>'TB Combined'!H16</f>
        <v>215081.24</v>
      </c>
      <c r="D15" s="26"/>
    </row>
    <row r="16" spans="1:4">
      <c r="A16" s="20" t="s">
        <v>134</v>
      </c>
      <c r="B16" s="21">
        <f>'TB Combined'!H17</f>
        <v>0</v>
      </c>
      <c r="D16" s="26"/>
    </row>
    <row r="17" spans="1:4">
      <c r="A17" s="18" t="s">
        <v>102</v>
      </c>
      <c r="B17" s="388">
        <f>SUM(B7:B16)</f>
        <v>19398358.189999998</v>
      </c>
    </row>
    <row r="18" spans="1:4">
      <c r="A18" s="18"/>
      <c r="B18" s="22"/>
    </row>
    <row r="19" spans="1:4">
      <c r="A19" s="18" t="s">
        <v>135</v>
      </c>
      <c r="B19" s="19"/>
    </row>
    <row r="20" spans="1:4" ht="17.25" customHeight="1">
      <c r="A20" s="18" t="s">
        <v>136</v>
      </c>
      <c r="B20" s="19"/>
    </row>
    <row r="21" spans="1:4">
      <c r="A21" s="20" t="s">
        <v>137</v>
      </c>
      <c r="B21" s="23">
        <f>-'TB Combined'!H18-'TB Combined'!H19</f>
        <v>20779.489600000001</v>
      </c>
      <c r="D21" s="26"/>
    </row>
    <row r="22" spans="1:4">
      <c r="A22" s="20" t="s">
        <v>407</v>
      </c>
      <c r="B22" s="23">
        <f>-'TB Combined'!H8-'TB Combined'!H9</f>
        <v>110900.39</v>
      </c>
      <c r="D22" s="26"/>
    </row>
    <row r="23" spans="1:4">
      <c r="A23" s="20" t="s">
        <v>138</v>
      </c>
      <c r="B23" s="24">
        <f>-'TB Combined'!H20</f>
        <v>177461.29000000004</v>
      </c>
      <c r="D23" s="26"/>
    </row>
    <row r="24" spans="1:4">
      <c r="A24" s="20" t="s">
        <v>381</v>
      </c>
      <c r="B24" s="24">
        <f>-'TB Combined'!H21</f>
        <v>36450</v>
      </c>
    </row>
    <row r="25" spans="1:4">
      <c r="A25" s="20" t="s">
        <v>139</v>
      </c>
      <c r="B25" s="24">
        <f>-'TB Combined'!H22</f>
        <v>12180000</v>
      </c>
    </row>
    <row r="26" spans="1:4">
      <c r="A26" s="20" t="s">
        <v>140</v>
      </c>
      <c r="B26" s="24"/>
    </row>
    <row r="27" spans="1:4">
      <c r="A27" s="18" t="s">
        <v>141</v>
      </c>
      <c r="B27" s="388">
        <f>SUM(B21:B26)</f>
        <v>12525591.169600001</v>
      </c>
    </row>
    <row r="28" spans="1:4" ht="26.25" customHeight="1">
      <c r="A28" s="18" t="s">
        <v>142</v>
      </c>
      <c r="B28" s="23"/>
    </row>
    <row r="29" spans="1:4">
      <c r="A29" s="20" t="s">
        <v>143</v>
      </c>
      <c r="B29" s="21">
        <f>-'TB Combined'!H23</f>
        <v>7290000</v>
      </c>
      <c r="C29" s="25"/>
      <c r="D29" s="26"/>
    </row>
    <row r="30" spans="1:4">
      <c r="A30" s="20" t="s">
        <v>144</v>
      </c>
      <c r="B30" s="24">
        <f>B98</f>
        <v>-363004.66959999991</v>
      </c>
      <c r="D30" s="26"/>
    </row>
    <row r="31" spans="1:4">
      <c r="A31" s="20" t="s">
        <v>145</v>
      </c>
      <c r="B31" s="27"/>
    </row>
    <row r="32" spans="1:4">
      <c r="A32" s="18" t="s">
        <v>146</v>
      </c>
      <c r="B32" s="388">
        <f>SUM(B29:B31)</f>
        <v>6926995.3304000003</v>
      </c>
    </row>
    <row r="33" spans="1:2">
      <c r="A33" s="18" t="s">
        <v>147</v>
      </c>
      <c r="B33" s="388">
        <f>(B27)+(B32)</f>
        <v>19452586.5</v>
      </c>
    </row>
    <row r="34" spans="1:2">
      <c r="A34" s="28"/>
      <c r="B34" s="29"/>
    </row>
    <row r="35" spans="1:2">
      <c r="B35" s="25"/>
    </row>
    <row r="36" spans="1:2">
      <c r="B36" s="34">
        <f>B33-B17</f>
        <v>54228.310000002384</v>
      </c>
    </row>
    <row r="41" spans="1:2" ht="17.5">
      <c r="A41" s="466" t="str">
        <f>A1</f>
        <v>Allaire on 41st top level</v>
      </c>
      <c r="B41" s="467"/>
    </row>
    <row r="42" spans="1:2" ht="17.5">
      <c r="A42" s="466" t="s">
        <v>148</v>
      </c>
      <c r="B42" s="467"/>
    </row>
    <row r="43" spans="1:2" ht="15">
      <c r="A43" s="464" t="s">
        <v>478</v>
      </c>
      <c r="B43" s="465"/>
    </row>
    <row r="44" spans="1:2" ht="9.5" customHeight="1"/>
    <row r="45" spans="1:2">
      <c r="A45" s="30" t="s">
        <v>149</v>
      </c>
    </row>
    <row r="46" spans="1:2">
      <c r="A46" s="20" t="s">
        <v>150</v>
      </c>
      <c r="B46" s="31">
        <f>-'TB Combined'!H25-'TB Combined'!H26-'TB Combined'!H27</f>
        <v>884541.96000000008</v>
      </c>
    </row>
    <row r="47" spans="1:2">
      <c r="A47" s="20" t="s">
        <v>251</v>
      </c>
      <c r="B47" s="32">
        <f>-SUM('TB Combined'!H28:H44)</f>
        <v>87785.739999999991</v>
      </c>
    </row>
    <row r="48" spans="1:2">
      <c r="A48" s="30" t="s">
        <v>408</v>
      </c>
      <c r="B48" s="33">
        <f>SUM(B46:B47)</f>
        <v>972327.70000000007</v>
      </c>
    </row>
    <row r="49" spans="1:2" ht="6.5" customHeight="1">
      <c r="B49" s="31"/>
    </row>
    <row r="50" spans="1:2">
      <c r="A50" s="15" t="s">
        <v>411</v>
      </c>
      <c r="B50" s="31">
        <f>-'TB Combined'!H47-'TB Combined'!H46</f>
        <v>-339.90999999999997</v>
      </c>
    </row>
    <row r="51" spans="1:2">
      <c r="A51" s="15" t="s">
        <v>412</v>
      </c>
      <c r="B51" s="31">
        <f>-'TB Combined'!H48</f>
        <v>-9139.9</v>
      </c>
    </row>
    <row r="52" spans="1:2">
      <c r="A52" s="15" t="s">
        <v>413</v>
      </c>
      <c r="B52" s="31">
        <f>-'TB Combined'!H49</f>
        <v>-1094.3</v>
      </c>
    </row>
    <row r="53" spans="1:2">
      <c r="A53" s="15" t="s">
        <v>414</v>
      </c>
      <c r="B53" s="31">
        <f>-'TB Combined'!H50</f>
        <v>-3770</v>
      </c>
    </row>
    <row r="54" spans="1:2">
      <c r="A54" s="15" t="s">
        <v>415</v>
      </c>
      <c r="B54" s="31">
        <f>-'TB Combined'!H51</f>
        <v>-3117.08</v>
      </c>
    </row>
    <row r="55" spans="1:2">
      <c r="A55" s="15" t="s">
        <v>416</v>
      </c>
      <c r="B55" s="31">
        <f>-'TB Combined'!H52</f>
        <v>-173.35</v>
      </c>
    </row>
    <row r="56" spans="1:2">
      <c r="A56" s="15" t="s">
        <v>417</v>
      </c>
      <c r="B56" s="31">
        <f>-'TB Combined'!H53</f>
        <v>-2743</v>
      </c>
    </row>
    <row r="57" spans="1:2">
      <c r="A57" s="15" t="s">
        <v>418</v>
      </c>
      <c r="B57" s="31">
        <f>-'TB Combined'!H54</f>
        <v>-2101.94</v>
      </c>
    </row>
    <row r="58" spans="1:2">
      <c r="A58" s="15" t="s">
        <v>419</v>
      </c>
      <c r="B58" s="31">
        <f>-'TB Combined'!H55</f>
        <v>-15620</v>
      </c>
    </row>
    <row r="59" spans="1:2">
      <c r="A59" s="15" t="s">
        <v>420</v>
      </c>
      <c r="B59" s="31">
        <f>-'TB Combined'!H56</f>
        <v>-1663.59</v>
      </c>
    </row>
    <row r="60" spans="1:2">
      <c r="A60" s="15" t="s">
        <v>421</v>
      </c>
      <c r="B60" s="31">
        <f>-'TB Combined'!H57</f>
        <v>-5238.07</v>
      </c>
    </row>
    <row r="61" spans="1:2">
      <c r="A61" s="15" t="s">
        <v>422</v>
      </c>
      <c r="B61" s="31">
        <f>-'TB Combined'!H58</f>
        <v>-13299.9</v>
      </c>
    </row>
    <row r="62" spans="1:2">
      <c r="A62" s="15" t="s">
        <v>423</v>
      </c>
      <c r="B62" s="31">
        <f>-'TB Combined'!H59</f>
        <v>-965.32</v>
      </c>
    </row>
    <row r="63" spans="1:2">
      <c r="A63" s="15" t="s">
        <v>424</v>
      </c>
      <c r="B63" s="31">
        <f>-'TB Combined'!H60</f>
        <v>-12594.93</v>
      </c>
    </row>
    <row r="64" spans="1:2">
      <c r="A64" s="15" t="s">
        <v>425</v>
      </c>
      <c r="B64" s="31">
        <f>-'TB Combined'!H61</f>
        <v>-570.09</v>
      </c>
    </row>
    <row r="65" spans="1:4">
      <c r="A65" s="15" t="s">
        <v>426</v>
      </c>
      <c r="B65" s="31">
        <f>-'TB Combined'!H62</f>
        <v>-9901.65</v>
      </c>
    </row>
    <row r="66" spans="1:4">
      <c r="A66" s="15" t="s">
        <v>427</v>
      </c>
      <c r="B66" s="31">
        <f>-'TB Combined'!H63</f>
        <v>-33763.160000000003</v>
      </c>
    </row>
    <row r="67" spans="1:4">
      <c r="A67" s="15" t="s">
        <v>428</v>
      </c>
      <c r="B67" s="31">
        <f>-'TB Combined'!H64</f>
        <v>-19854.650000000001</v>
      </c>
    </row>
    <row r="68" spans="1:4">
      <c r="A68" s="15" t="s">
        <v>429</v>
      </c>
      <c r="B68" s="31">
        <f>-'TB Combined'!H65</f>
        <v>-1656</v>
      </c>
    </row>
    <row r="69" spans="1:4">
      <c r="A69" s="15" t="s">
        <v>430</v>
      </c>
      <c r="B69" s="31">
        <f>-'TB Combined'!H66</f>
        <v>-604.71</v>
      </c>
    </row>
    <row r="70" spans="1:4">
      <c r="A70" s="15" t="s">
        <v>431</v>
      </c>
      <c r="B70" s="31">
        <f>-'TB Combined'!H67</f>
        <v>-4268.8900000000003</v>
      </c>
    </row>
    <row r="71" spans="1:4">
      <c r="A71" s="15" t="s">
        <v>432</v>
      </c>
      <c r="B71" s="31">
        <f>-'TB Combined'!H68</f>
        <v>-750</v>
      </c>
    </row>
    <row r="72" spans="1:4">
      <c r="A72" s="15" t="s">
        <v>433</v>
      </c>
      <c r="B72" s="31">
        <f>-'TB Combined'!H69</f>
        <v>-40012.36</v>
      </c>
    </row>
    <row r="73" spans="1:4">
      <c r="A73" s="15" t="s">
        <v>434</v>
      </c>
      <c r="B73" s="31">
        <f>-'TB Combined'!H70</f>
        <v>-6526.11</v>
      </c>
    </row>
    <row r="74" spans="1:4">
      <c r="A74" s="15" t="s">
        <v>174</v>
      </c>
      <c r="B74" s="31">
        <f>-'TB Combined'!H71</f>
        <v>-62775.220000000008</v>
      </c>
      <c r="D74" s="31"/>
    </row>
    <row r="75" spans="1:4">
      <c r="A75" s="15" t="s">
        <v>159</v>
      </c>
      <c r="B75" s="32">
        <f>-'TB Combined'!H72</f>
        <v>-114345.58</v>
      </c>
    </row>
    <row r="76" spans="1:4">
      <c r="A76" s="30" t="s">
        <v>410</v>
      </c>
      <c r="B76" s="33">
        <f>SUM(B50:B75)</f>
        <v>-366889.70999999996</v>
      </c>
    </row>
    <row r="77" spans="1:4" ht="7.5" customHeight="1">
      <c r="A77" s="30"/>
      <c r="B77" s="33"/>
    </row>
    <row r="78" spans="1:4">
      <c r="A78" s="30" t="s">
        <v>435</v>
      </c>
      <c r="B78" s="33">
        <f>B48+B76</f>
        <v>605437.99000000011</v>
      </c>
    </row>
    <row r="79" spans="1:4" ht="5" customHeight="1">
      <c r="A79" s="30"/>
      <c r="B79" s="34"/>
    </row>
    <row r="80" spans="1:4">
      <c r="A80" s="15" t="s">
        <v>153</v>
      </c>
      <c r="B80" s="31">
        <f>-'TB Combined'!H79</f>
        <v>-344000</v>
      </c>
    </row>
    <row r="81" spans="1:4">
      <c r="A81" s="15" t="s">
        <v>154</v>
      </c>
      <c r="B81" s="31">
        <f>-'TB Combined'!H80</f>
        <v>-575</v>
      </c>
    </row>
    <row r="82" spans="1:4">
      <c r="A82" s="15" t="s">
        <v>155</v>
      </c>
      <c r="B82" s="31">
        <f>-'TB Combined'!H81</f>
        <v>-113505.01</v>
      </c>
    </row>
    <row r="83" spans="1:4">
      <c r="A83" s="15" t="s">
        <v>156</v>
      </c>
      <c r="B83" s="31">
        <f>-'TB Combined'!H82</f>
        <v>-100000</v>
      </c>
    </row>
    <row r="84" spans="1:4">
      <c r="A84" s="15" t="s">
        <v>157</v>
      </c>
      <c r="B84" s="31">
        <f>-'TB Combined'!H83</f>
        <v>-70065.009999999995</v>
      </c>
    </row>
    <row r="85" spans="1:4">
      <c r="A85" s="15" t="s">
        <v>158</v>
      </c>
      <c r="B85" s="31">
        <f>-'TB Combined'!H84-'TB Combined'!H78</f>
        <v>-38723</v>
      </c>
    </row>
    <row r="86" spans="1:4">
      <c r="A86" s="15" t="s">
        <v>436</v>
      </c>
      <c r="B86" s="31">
        <f>-SUM('TB Combined'!H73:H77)</f>
        <v>0</v>
      </c>
    </row>
    <row r="87" spans="1:4">
      <c r="A87" s="15" t="s">
        <v>160</v>
      </c>
      <c r="B87" s="32">
        <f>-'TB Combined'!H85</f>
        <v>-13210</v>
      </c>
    </row>
    <row r="88" spans="1:4">
      <c r="A88" s="30" t="s">
        <v>409</v>
      </c>
      <c r="B88" s="33">
        <f>SUM(B80:B87)</f>
        <v>-680078.02</v>
      </c>
    </row>
    <row r="89" spans="1:4" ht="6" customHeight="1">
      <c r="B89" s="34"/>
    </row>
    <row r="90" spans="1:4">
      <c r="A90" s="30" t="s">
        <v>163</v>
      </c>
      <c r="B90" s="36">
        <f>B78+B88</f>
        <v>-74640.029999999912</v>
      </c>
    </row>
    <row r="91" spans="1:4">
      <c r="A91" s="15" t="s">
        <v>164</v>
      </c>
      <c r="B91" s="31">
        <f>-'TB Combined'!H86</f>
        <v>16082.439999999999</v>
      </c>
    </row>
    <row r="92" spans="1:4">
      <c r="A92" s="15" t="s">
        <v>386</v>
      </c>
      <c r="B92" s="31">
        <f>-'TB Combined'!H87</f>
        <v>-287481.82</v>
      </c>
    </row>
    <row r="93" spans="1:4">
      <c r="A93" s="15" t="s">
        <v>388</v>
      </c>
      <c r="B93" s="31">
        <f>-'TB Combined'!H88</f>
        <v>-8555.0595999999987</v>
      </c>
      <c r="D93" s="31"/>
    </row>
    <row r="94" spans="1:4">
      <c r="A94" s="15" t="s">
        <v>166</v>
      </c>
      <c r="B94" s="31">
        <f>-'TB Combined'!H89</f>
        <v>-8410.2000000000007</v>
      </c>
    </row>
    <row r="95" spans="1:4">
      <c r="A95" s="15" t="s">
        <v>167</v>
      </c>
      <c r="B95" s="32">
        <f>-'TB Combined'!H90</f>
        <v>0</v>
      </c>
    </row>
    <row r="96" spans="1:4">
      <c r="A96" s="30" t="s">
        <v>168</v>
      </c>
      <c r="B96" s="33">
        <f>SUM(B90:B95)</f>
        <v>-363004.66959999991</v>
      </c>
    </row>
    <row r="97" spans="1:2">
      <c r="A97" s="15" t="s">
        <v>169</v>
      </c>
      <c r="B97" s="32">
        <v>0</v>
      </c>
    </row>
    <row r="98" spans="1:2">
      <c r="A98" s="30" t="s">
        <v>170</v>
      </c>
      <c r="B98" s="33">
        <f>SUM(B96:B97)</f>
        <v>-363004.66959999991</v>
      </c>
    </row>
    <row r="100" spans="1:2">
      <c r="B100" s="31"/>
    </row>
    <row r="101" spans="1:2">
      <c r="A101" s="30"/>
      <c r="B101" s="33"/>
    </row>
    <row r="103" spans="1:2">
      <c r="A103" s="37"/>
      <c r="B103" s="31"/>
    </row>
    <row r="104" spans="1:2">
      <c r="A104" s="38"/>
      <c r="B104" s="33"/>
    </row>
  </sheetData>
  <mergeCells count="6">
    <mergeCell ref="A43:B43"/>
    <mergeCell ref="A1:B1"/>
    <mergeCell ref="A2:B2"/>
    <mergeCell ref="A3:B3"/>
    <mergeCell ref="A41:B41"/>
    <mergeCell ref="A42:B42"/>
  </mergeCells>
  <pageMargins left="0.45" right="0.45" top="0.5" bottom="0.5" header="0.3" footer="0.3"/>
  <pageSetup scale="95" fitToHeight="2" orientation="portrait" horizontalDpi="300" verticalDpi="300" r:id="rId1"/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showWhiteSpace="0" workbookViewId="0">
      <selection activeCell="D12" sqref="D12"/>
    </sheetView>
  </sheetViews>
  <sheetFormatPr defaultRowHeight="14"/>
  <cols>
    <col min="1" max="1" width="74.33203125" bestFit="1" customWidth="1"/>
    <col min="2" max="2" width="26.83203125" customWidth="1"/>
    <col min="3" max="4" width="39" bestFit="1" customWidth="1"/>
    <col min="6" max="6" width="19.75" bestFit="1" customWidth="1"/>
  </cols>
  <sheetData>
    <row r="1" spans="1:6" ht="23">
      <c r="A1" s="470" t="s">
        <v>0</v>
      </c>
      <c r="B1" s="470"/>
      <c r="C1" s="470"/>
      <c r="D1" s="470"/>
    </row>
    <row r="2" spans="1:6" ht="16.5">
      <c r="A2" s="471" t="s">
        <v>479</v>
      </c>
      <c r="B2" s="471"/>
      <c r="C2" s="471"/>
      <c r="D2" s="468"/>
    </row>
    <row r="3" spans="1:6" ht="16.5">
      <c r="A3" s="468" t="s">
        <v>3</v>
      </c>
      <c r="B3" s="468"/>
      <c r="C3" s="468"/>
      <c r="D3" s="468"/>
    </row>
    <row r="4" spans="1:6" ht="16.5">
      <c r="A4" s="468" t="s">
        <v>4</v>
      </c>
      <c r="B4" s="468"/>
      <c r="C4" s="468"/>
      <c r="D4" s="468"/>
    </row>
    <row r="5" spans="1:6" ht="16.5">
      <c r="A5" s="468" t="s">
        <v>5</v>
      </c>
      <c r="B5" s="468"/>
      <c r="C5" s="468"/>
      <c r="D5" s="468"/>
    </row>
    <row r="6" spans="1:6">
      <c r="A6" s="469"/>
      <c r="B6" s="469"/>
      <c r="C6" s="469"/>
      <c r="D6" s="469"/>
    </row>
    <row r="7" spans="1:6" ht="16.5">
      <c r="A7" s="419"/>
      <c r="B7" s="420" t="s">
        <v>482</v>
      </c>
      <c r="C7" s="420" t="s">
        <v>481</v>
      </c>
      <c r="D7" s="420"/>
    </row>
    <row r="8" spans="1:6" ht="16.5">
      <c r="A8" s="1" t="s">
        <v>6</v>
      </c>
      <c r="B8" s="422">
        <v>45930</v>
      </c>
      <c r="C8" s="422">
        <v>45930</v>
      </c>
      <c r="D8" s="422" t="s">
        <v>399</v>
      </c>
    </row>
    <row r="9" spans="1:6" ht="15.5">
      <c r="A9" s="3" t="s">
        <v>9</v>
      </c>
      <c r="B9" s="3"/>
      <c r="C9" s="5"/>
      <c r="D9" s="5"/>
    </row>
    <row r="10" spans="1:6" ht="15.5">
      <c r="A10" s="3" t="s">
        <v>10</v>
      </c>
      <c r="B10" s="3"/>
      <c r="C10" s="5"/>
      <c r="D10" s="5"/>
    </row>
    <row r="11" spans="1:6" ht="15.5">
      <c r="A11" s="3" t="s">
        <v>11</v>
      </c>
      <c r="B11" s="3"/>
      <c r="C11" s="5"/>
      <c r="D11" s="5"/>
    </row>
    <row r="12" spans="1:6" ht="15.5">
      <c r="A12" s="2" t="s">
        <v>12</v>
      </c>
      <c r="B12" s="423">
        <f>C12-'IS (Combined) (Q2)'!B11</f>
        <v>447725.80000000005</v>
      </c>
      <c r="C12" s="4">
        <f>D12</f>
        <v>895738.81</v>
      </c>
      <c r="D12" s="4">
        <f>-'TB Combined'!H25</f>
        <v>895738.81</v>
      </c>
    </row>
    <row r="13" spans="1:6" ht="15.5">
      <c r="A13" s="2" t="s">
        <v>13</v>
      </c>
      <c r="B13" s="423">
        <f>C13-'IS (Combined) (Q2)'!B12</f>
        <v>0</v>
      </c>
      <c r="C13" s="4">
        <f t="shared" ref="C13:C77" si="0">D13</f>
        <v>3933</v>
      </c>
      <c r="D13" s="4">
        <f>-'TB Combined'!H26</f>
        <v>3933</v>
      </c>
    </row>
    <row r="14" spans="1:6" ht="15.5">
      <c r="A14" s="2" t="s">
        <v>521</v>
      </c>
      <c r="B14" s="423">
        <f>-'TB Combined'!H45</f>
        <v>-54228.32</v>
      </c>
      <c r="C14" s="423">
        <f>D14</f>
        <v>-54228.32</v>
      </c>
      <c r="D14" s="423">
        <f>-'TB Combined'!H45</f>
        <v>-54228.32</v>
      </c>
      <c r="F14" s="41"/>
    </row>
    <row r="15" spans="1:6" ht="15.5">
      <c r="A15" s="2" t="s">
        <v>14</v>
      </c>
      <c r="B15" s="423">
        <f>C15-'IS (Combined) (Q2)'!B13</f>
        <v>-14175</v>
      </c>
      <c r="C15" s="423">
        <f t="shared" si="0"/>
        <v>-15129.85</v>
      </c>
      <c r="D15" s="423">
        <f>-'TB Combined'!H27</f>
        <v>-15129.85</v>
      </c>
    </row>
    <row r="16" spans="1:6" ht="15.5">
      <c r="A16" s="3" t="s">
        <v>15</v>
      </c>
      <c r="B16" s="6">
        <f>SUM(B12:B15)</f>
        <v>379322.48000000004</v>
      </c>
      <c r="C16" s="6">
        <f t="shared" si="0"/>
        <v>830313.64000000013</v>
      </c>
      <c r="D16" s="6">
        <f>SUM(D12:D15)</f>
        <v>830313.64000000013</v>
      </c>
      <c r="F16" s="41"/>
    </row>
    <row r="17" spans="1:4" ht="15.5">
      <c r="A17" s="3" t="s">
        <v>16</v>
      </c>
      <c r="B17" s="5"/>
      <c r="C17" s="5">
        <f t="shared" si="0"/>
        <v>0</v>
      </c>
      <c r="D17" s="5"/>
    </row>
    <row r="18" spans="1:4" ht="15.5">
      <c r="A18" s="2" t="s">
        <v>17</v>
      </c>
      <c r="B18" s="4">
        <f>C18-'IS (Combined) (Q2)'!B16</f>
        <v>811.49</v>
      </c>
      <c r="C18" s="4">
        <f t="shared" si="0"/>
        <v>1331.24</v>
      </c>
      <c r="D18" s="4">
        <f>-'TB Combined'!H28</f>
        <v>1331.24</v>
      </c>
    </row>
    <row r="19" spans="1:4" ht="15.5">
      <c r="A19" s="2" t="s">
        <v>18</v>
      </c>
      <c r="B19" s="4">
        <f>C19-'IS (Combined) (Q2)'!B17</f>
        <v>1345.46</v>
      </c>
      <c r="C19" s="4">
        <f t="shared" si="0"/>
        <v>2780.92</v>
      </c>
      <c r="D19" s="4">
        <f>-'TB Combined'!H29</f>
        <v>2780.92</v>
      </c>
    </row>
    <row r="20" spans="1:4" ht="15.5">
      <c r="A20" s="2" t="s">
        <v>19</v>
      </c>
      <c r="B20" s="4">
        <f>C20-'IS (Combined) (Q2)'!B18</f>
        <v>80.319999999999993</v>
      </c>
      <c r="C20" s="4">
        <f t="shared" si="0"/>
        <v>193.72</v>
      </c>
      <c r="D20" s="4">
        <f>-'TB Combined'!H30</f>
        <v>193.72</v>
      </c>
    </row>
    <row r="21" spans="1:4" ht="15.5">
      <c r="A21" s="2" t="s">
        <v>472</v>
      </c>
      <c r="B21" s="4">
        <f>C21</f>
        <v>236.25</v>
      </c>
      <c r="C21" s="4">
        <f t="shared" si="0"/>
        <v>236.25</v>
      </c>
      <c r="D21" s="4">
        <f>-'TB Combined'!H31</f>
        <v>236.25</v>
      </c>
    </row>
    <row r="22" spans="1:4" ht="15.5">
      <c r="A22" s="2" t="s">
        <v>20</v>
      </c>
      <c r="B22" s="4">
        <f>C22-'IS (Combined) (Q2)'!B19</f>
        <v>967.5</v>
      </c>
      <c r="C22" s="4">
        <f t="shared" si="0"/>
        <v>1350</v>
      </c>
      <c r="D22" s="4">
        <f>-'TB Combined'!H32</f>
        <v>1350</v>
      </c>
    </row>
    <row r="23" spans="1:4" ht="15.5">
      <c r="A23" s="2" t="s">
        <v>473</v>
      </c>
      <c r="B23" s="4">
        <f>C23</f>
        <v>300.32</v>
      </c>
      <c r="C23" s="4">
        <f t="shared" si="0"/>
        <v>300.32</v>
      </c>
      <c r="D23" s="4">
        <f>-'TB Combined'!H33</f>
        <v>300.32</v>
      </c>
    </row>
    <row r="24" spans="1:4" ht="15.5">
      <c r="A24" s="2" t="s">
        <v>21</v>
      </c>
      <c r="B24" s="4">
        <f>C24-'IS (Combined) (Q2)'!B20</f>
        <v>2601.3799999999997</v>
      </c>
      <c r="C24" s="4">
        <f t="shared" si="0"/>
        <v>5263.24</v>
      </c>
      <c r="D24" s="4">
        <f>-'TB Combined'!H34</f>
        <v>5263.24</v>
      </c>
    </row>
    <row r="25" spans="1:4" ht="15.5">
      <c r="A25" s="2" t="s">
        <v>22</v>
      </c>
      <c r="B25" s="4">
        <f>C25-'IS (Combined) (Q2)'!B21</f>
        <v>51</v>
      </c>
      <c r="C25" s="4">
        <f t="shared" si="0"/>
        <v>81</v>
      </c>
      <c r="D25" s="4">
        <f>-'TB Combined'!H35</f>
        <v>81</v>
      </c>
    </row>
    <row r="26" spans="1:4" ht="15.5">
      <c r="A26" s="2" t="s">
        <v>23</v>
      </c>
      <c r="B26" s="4">
        <f>C26-'IS (Combined) (Q2)'!B22</f>
        <v>3050</v>
      </c>
      <c r="C26" s="4">
        <f t="shared" si="0"/>
        <v>5300</v>
      </c>
      <c r="D26" s="4">
        <f>-'TB Combined'!H36</f>
        <v>5300</v>
      </c>
    </row>
    <row r="27" spans="1:4" ht="15.5">
      <c r="A27" s="2" t="s">
        <v>24</v>
      </c>
      <c r="B27" s="4">
        <f>C27-'IS (Combined) (Q2)'!B23</f>
        <v>14226.25</v>
      </c>
      <c r="C27" s="4">
        <f t="shared" si="0"/>
        <v>17996.8</v>
      </c>
      <c r="D27" s="4">
        <f>-'TB Combined'!H37</f>
        <v>17996.8</v>
      </c>
    </row>
    <row r="28" spans="1:4" ht="15.5">
      <c r="A28" s="2" t="s">
        <v>25</v>
      </c>
      <c r="B28" s="4">
        <f>C28-'IS (Combined) (Q2)'!B24</f>
        <v>5318.6900000000005</v>
      </c>
      <c r="C28" s="4">
        <f t="shared" si="0"/>
        <v>9473.42</v>
      </c>
      <c r="D28" s="4">
        <f>-'TB Combined'!H38</f>
        <v>9473.42</v>
      </c>
    </row>
    <row r="29" spans="1:4" ht="15.5">
      <c r="A29" s="2" t="s">
        <v>26</v>
      </c>
      <c r="B29" s="4">
        <f>C29-'IS (Combined) (Q2)'!B25</f>
        <v>12585.35</v>
      </c>
      <c r="C29" s="4">
        <f t="shared" si="0"/>
        <v>24467.27</v>
      </c>
      <c r="D29" s="4">
        <f>-'TB Combined'!H39</f>
        <v>24467.27</v>
      </c>
    </row>
    <row r="30" spans="1:4" ht="15.5">
      <c r="A30" s="2" t="s">
        <v>27</v>
      </c>
      <c r="B30" s="4">
        <f>C30-'IS (Combined) (Q2)'!B26</f>
        <v>3602.65</v>
      </c>
      <c r="C30" s="423">
        <f t="shared" si="0"/>
        <v>-221</v>
      </c>
      <c r="D30" s="423">
        <f>-'TB Combined'!H40</f>
        <v>-221</v>
      </c>
    </row>
    <row r="31" spans="1:4" ht="15.5">
      <c r="A31" s="3" t="s">
        <v>28</v>
      </c>
      <c r="B31" s="6">
        <f>SUM(B18:B30)</f>
        <v>45176.66</v>
      </c>
      <c r="C31" s="6">
        <f t="shared" si="0"/>
        <v>68553.179999999993</v>
      </c>
      <c r="D31" s="6">
        <f>SUM(D18:D30)</f>
        <v>68553.179999999993</v>
      </c>
    </row>
    <row r="32" spans="1:4" ht="15.5">
      <c r="A32" s="2" t="s">
        <v>29</v>
      </c>
      <c r="B32" s="4">
        <f>C32-'IS (Combined) (Q2)'!B28</f>
        <v>9350</v>
      </c>
      <c r="C32" s="4">
        <f t="shared" si="0"/>
        <v>16760</v>
      </c>
      <c r="D32" s="4">
        <f>-'TB Combined'!H41</f>
        <v>16760</v>
      </c>
    </row>
    <row r="33" spans="1:4" ht="15.5">
      <c r="A33" s="2" t="s">
        <v>30</v>
      </c>
      <c r="B33" s="4">
        <f>C33-'IS (Combined) (Q2)'!B29</f>
        <v>577.24</v>
      </c>
      <c r="C33" s="4">
        <f t="shared" si="0"/>
        <v>849.56</v>
      </c>
      <c r="D33" s="4">
        <f>-'TB Combined'!H42</f>
        <v>849.56</v>
      </c>
    </row>
    <row r="34" spans="1:4" ht="15.5">
      <c r="A34" s="2" t="s">
        <v>31</v>
      </c>
      <c r="B34" s="4">
        <f>C34-'IS (Combined) (Q2)'!B30</f>
        <v>233.5</v>
      </c>
      <c r="C34" s="4">
        <f t="shared" si="0"/>
        <v>519.75</v>
      </c>
      <c r="D34" s="4">
        <f>-'TB Combined'!H43</f>
        <v>519.75</v>
      </c>
    </row>
    <row r="35" spans="1:4" ht="15.5">
      <c r="A35" s="2" t="s">
        <v>32</v>
      </c>
      <c r="B35" s="4">
        <f>C35-'IS (Combined) (Q2)'!B31</f>
        <v>94.5</v>
      </c>
      <c r="C35" s="4">
        <f t="shared" si="0"/>
        <v>1103.25</v>
      </c>
      <c r="D35" s="4">
        <f>-'TB Combined'!H44</f>
        <v>1103.25</v>
      </c>
    </row>
    <row r="36" spans="1:4" ht="15.5">
      <c r="A36" s="3" t="s">
        <v>33</v>
      </c>
      <c r="B36" s="6">
        <f t="shared" ref="B36:C36" si="1">SUM(B31:B35)+B16</f>
        <v>434754.38000000006</v>
      </c>
      <c r="C36" s="6">
        <f t="shared" si="1"/>
        <v>918099.38000000012</v>
      </c>
      <c r="D36" s="6">
        <f>SUM(D31:D35)+D16</f>
        <v>918099.38000000012</v>
      </c>
    </row>
    <row r="37" spans="1:4" ht="15.5">
      <c r="A37" s="3" t="s">
        <v>34</v>
      </c>
      <c r="B37" s="5"/>
      <c r="C37" s="5"/>
      <c r="D37" s="5"/>
    </row>
    <row r="38" spans="1:4" ht="15.5">
      <c r="A38" s="3" t="s">
        <v>35</v>
      </c>
      <c r="B38" s="5"/>
      <c r="C38" s="5"/>
      <c r="D38" s="5"/>
    </row>
    <row r="39" spans="1:4" ht="15.5">
      <c r="A39" s="2" t="s">
        <v>474</v>
      </c>
      <c r="B39" s="4">
        <f>C39</f>
        <v>95</v>
      </c>
      <c r="C39" s="4">
        <f t="shared" si="0"/>
        <v>95</v>
      </c>
      <c r="D39" s="4">
        <f>'TB Combined'!H46</f>
        <v>95</v>
      </c>
    </row>
    <row r="40" spans="1:4" ht="15.5">
      <c r="A40" s="2" t="s">
        <v>36</v>
      </c>
      <c r="B40" s="4">
        <f>C40-'IS (Combined) (Q2)'!B35</f>
        <v>0</v>
      </c>
      <c r="C40" s="4">
        <f t="shared" si="0"/>
        <v>244.91</v>
      </c>
      <c r="D40" s="4">
        <f>'TB Combined'!H47</f>
        <v>244.91</v>
      </c>
    </row>
    <row r="41" spans="1:4" ht="15.5">
      <c r="A41" s="2" t="s">
        <v>37</v>
      </c>
      <c r="B41" s="4">
        <f>C41-'IS (Combined) (Q2)'!B36</f>
        <v>4700.6099999999997</v>
      </c>
      <c r="C41" s="4">
        <f t="shared" si="0"/>
        <v>9139.9</v>
      </c>
      <c r="D41" s="4">
        <f>'TB Combined'!H48</f>
        <v>9139.9</v>
      </c>
    </row>
    <row r="42" spans="1:4" ht="15.5">
      <c r="A42" s="3" t="s">
        <v>38</v>
      </c>
      <c r="B42" s="6">
        <f>SUM(B39:B41)</f>
        <v>4795.6099999999997</v>
      </c>
      <c r="C42" s="6">
        <f t="shared" si="0"/>
        <v>9479.81</v>
      </c>
      <c r="D42" s="6">
        <f>SUM(D39:D41)</f>
        <v>9479.81</v>
      </c>
    </row>
    <row r="43" spans="1:4" ht="15.5">
      <c r="A43" s="2" t="s">
        <v>39</v>
      </c>
      <c r="B43" s="4">
        <f>C43-'IS (Combined) (Q2)'!B38</f>
        <v>413.94999999999993</v>
      </c>
      <c r="C43" s="4">
        <f t="shared" si="0"/>
        <v>1094.3</v>
      </c>
      <c r="D43" s="4">
        <f>'TB Combined'!H49</f>
        <v>1094.3</v>
      </c>
    </row>
    <row r="44" spans="1:4" ht="15.5">
      <c r="A44" s="3" t="s">
        <v>40</v>
      </c>
      <c r="B44" s="5"/>
      <c r="C44" s="5">
        <f t="shared" si="0"/>
        <v>0</v>
      </c>
      <c r="D44" s="5"/>
    </row>
    <row r="45" spans="1:4" ht="15.5">
      <c r="A45" s="2" t="s">
        <v>41</v>
      </c>
      <c r="B45" s="4">
        <f>C45-'IS (Combined) (Q2)'!B40</f>
        <v>3500</v>
      </c>
      <c r="C45" s="4">
        <f t="shared" si="0"/>
        <v>3770</v>
      </c>
      <c r="D45" s="4">
        <f>'TB Combined'!H50</f>
        <v>3770</v>
      </c>
    </row>
    <row r="46" spans="1:4" ht="15.5">
      <c r="A46" s="2" t="s">
        <v>42</v>
      </c>
      <c r="B46" s="4">
        <f>C46-'IS (Combined) (Q2)'!B41</f>
        <v>1641.32</v>
      </c>
      <c r="C46" s="4">
        <f t="shared" si="0"/>
        <v>3117.08</v>
      </c>
      <c r="D46" s="4">
        <f>'TB Combined'!H51</f>
        <v>3117.08</v>
      </c>
    </row>
    <row r="47" spans="1:4" ht="15.5">
      <c r="A47" s="2" t="s">
        <v>43</v>
      </c>
      <c r="B47" s="4">
        <f>C47-'IS (Combined) (Q2)'!B42</f>
        <v>152.13999999999999</v>
      </c>
      <c r="C47" s="4">
        <f t="shared" si="0"/>
        <v>173.35</v>
      </c>
      <c r="D47" s="4">
        <f>'TB Combined'!H52</f>
        <v>173.35</v>
      </c>
    </row>
    <row r="48" spans="1:4" ht="15.5">
      <c r="A48" s="2" t="s">
        <v>44</v>
      </c>
      <c r="B48" s="4">
        <f>C48-'IS (Combined) (Q2)'!B43</f>
        <v>-1610</v>
      </c>
      <c r="C48" s="4">
        <f t="shared" si="0"/>
        <v>2743</v>
      </c>
      <c r="D48" s="4">
        <f>'TB Combined'!H53</f>
        <v>2743</v>
      </c>
    </row>
    <row r="49" spans="1:4" ht="15.5">
      <c r="A49" s="3" t="s">
        <v>45</v>
      </c>
      <c r="B49" s="6">
        <f>SUM(B45:B48)</f>
        <v>3683.46</v>
      </c>
      <c r="C49" s="6">
        <f t="shared" si="0"/>
        <v>9803.43</v>
      </c>
      <c r="D49" s="6">
        <f>SUM(D45:D48)</f>
        <v>9803.43</v>
      </c>
    </row>
    <row r="50" spans="1:4" ht="15.5">
      <c r="A50" s="3" t="s">
        <v>46</v>
      </c>
      <c r="B50" s="5"/>
      <c r="C50" s="5">
        <f t="shared" si="0"/>
        <v>0</v>
      </c>
      <c r="D50" s="5"/>
    </row>
    <row r="51" spans="1:4" ht="15.5">
      <c r="A51" s="2" t="s">
        <v>47</v>
      </c>
      <c r="B51" s="4">
        <f>C51-'IS (Combined) (Q2)'!B46</f>
        <v>1345.46</v>
      </c>
      <c r="C51" s="4">
        <f t="shared" si="0"/>
        <v>2101.94</v>
      </c>
      <c r="D51" s="4">
        <f>'TB Combined'!H54</f>
        <v>2101.94</v>
      </c>
    </row>
    <row r="52" spans="1:4" ht="15.5">
      <c r="A52" s="3" t="s">
        <v>48</v>
      </c>
      <c r="B52" s="6">
        <f>SUM(B51)</f>
        <v>1345.46</v>
      </c>
      <c r="C52" s="6">
        <f t="shared" si="0"/>
        <v>2101.94</v>
      </c>
      <c r="D52" s="6">
        <f>SUM(D51)</f>
        <v>2101.94</v>
      </c>
    </row>
    <row r="53" spans="1:4" ht="15.5">
      <c r="A53" s="3" t="s">
        <v>49</v>
      </c>
      <c r="B53" s="5"/>
      <c r="C53" s="5">
        <f t="shared" si="0"/>
        <v>0</v>
      </c>
      <c r="D53" s="5"/>
    </row>
    <row r="54" spans="1:4" ht="15.5">
      <c r="A54" s="3" t="s">
        <v>50</v>
      </c>
      <c r="B54" s="5"/>
      <c r="C54" s="5">
        <f t="shared" si="0"/>
        <v>0</v>
      </c>
      <c r="D54" s="5"/>
    </row>
    <row r="55" spans="1:4" ht="15.5">
      <c r="A55" s="2" t="s">
        <v>51</v>
      </c>
      <c r="B55" s="4">
        <f>C55-'IS (Combined) (Q2)'!B50</f>
        <v>12472.5</v>
      </c>
      <c r="C55" s="4">
        <f t="shared" si="0"/>
        <v>15620</v>
      </c>
      <c r="D55" s="4">
        <f>'TB Combined'!H55</f>
        <v>15620</v>
      </c>
    </row>
    <row r="56" spans="1:4" ht="15.5">
      <c r="A56" s="3" t="s">
        <v>52</v>
      </c>
      <c r="B56" s="6">
        <f>SUM(B55)</f>
        <v>12472.5</v>
      </c>
      <c r="C56" s="6">
        <f t="shared" si="0"/>
        <v>15620</v>
      </c>
      <c r="D56" s="6">
        <f>SUM(D55)</f>
        <v>15620</v>
      </c>
    </row>
    <row r="57" spans="1:4" ht="15.5">
      <c r="A57" s="2" t="s">
        <v>53</v>
      </c>
      <c r="B57" s="4">
        <f>C57-'IS (Combined) (Q2)'!B52</f>
        <v>-15882.46</v>
      </c>
      <c r="C57" s="4">
        <f t="shared" si="0"/>
        <v>1663.59</v>
      </c>
      <c r="D57" s="4">
        <f>'TB Combined'!H56</f>
        <v>1663.59</v>
      </c>
    </row>
    <row r="58" spans="1:4" ht="15.5">
      <c r="A58" s="3" t="s">
        <v>54</v>
      </c>
      <c r="B58" s="6">
        <f>SUM(B56:B57)</f>
        <v>-3409.9599999999991</v>
      </c>
      <c r="C58" s="6">
        <f t="shared" si="0"/>
        <v>17283.59</v>
      </c>
      <c r="D58" s="6">
        <f>SUM(D56:D57)</f>
        <v>17283.59</v>
      </c>
    </row>
    <row r="59" spans="1:4" ht="15.5">
      <c r="A59" s="3" t="s">
        <v>55</v>
      </c>
      <c r="B59" s="5"/>
      <c r="C59" s="5">
        <f t="shared" si="0"/>
        <v>0</v>
      </c>
      <c r="D59" s="5"/>
    </row>
    <row r="60" spans="1:4" ht="15.5">
      <c r="A60" s="2" t="s">
        <v>56</v>
      </c>
      <c r="B60" s="4">
        <f>C60-'IS (Combined) (Q2)'!B55</f>
        <v>3738.0699999999997</v>
      </c>
      <c r="C60" s="4">
        <f t="shared" si="0"/>
        <v>5238.07</v>
      </c>
      <c r="D60" s="4">
        <f>'TB Combined'!H57</f>
        <v>5238.07</v>
      </c>
    </row>
    <row r="61" spans="1:4" ht="15.5">
      <c r="A61" s="2" t="s">
        <v>57</v>
      </c>
      <c r="B61" s="4">
        <f>C61-'IS (Combined) (Q2)'!B56</f>
        <v>10607.939999999999</v>
      </c>
      <c r="C61" s="4">
        <f t="shared" si="0"/>
        <v>13299.9</v>
      </c>
      <c r="D61" s="4">
        <f>'TB Combined'!H58</f>
        <v>13299.9</v>
      </c>
    </row>
    <row r="62" spans="1:4" ht="15.5">
      <c r="A62" s="2" t="s">
        <v>58</v>
      </c>
      <c r="B62" s="4">
        <f>C62-'IS (Combined) (Q2)'!B57</f>
        <v>-7169.79</v>
      </c>
      <c r="C62" s="4">
        <f t="shared" si="0"/>
        <v>965.32</v>
      </c>
      <c r="D62" s="4">
        <f>'TB Combined'!H59</f>
        <v>965.32</v>
      </c>
    </row>
    <row r="63" spans="1:4" ht="15.5">
      <c r="A63" s="2" t="s">
        <v>59</v>
      </c>
      <c r="B63" s="4">
        <f>C63-'IS (Combined) (Q2)'!B58</f>
        <v>12218.93</v>
      </c>
      <c r="C63" s="4">
        <f t="shared" si="0"/>
        <v>12594.93</v>
      </c>
      <c r="D63" s="4">
        <f>'TB Combined'!H60</f>
        <v>12594.93</v>
      </c>
    </row>
    <row r="64" spans="1:4" ht="15.5">
      <c r="A64" s="2" t="s">
        <v>60</v>
      </c>
      <c r="B64" s="4">
        <f>C64-'IS (Combined) (Q2)'!B59</f>
        <v>-23631.45</v>
      </c>
      <c r="C64" s="4">
        <f t="shared" si="0"/>
        <v>570.09</v>
      </c>
      <c r="D64" s="4">
        <f>'TB Combined'!H61</f>
        <v>570.09</v>
      </c>
    </row>
    <row r="65" spans="1:4" ht="15.5">
      <c r="A65" s="2" t="s">
        <v>61</v>
      </c>
      <c r="B65" s="4">
        <f>C65-'IS (Combined) (Q2)'!B60</f>
        <v>9560.32</v>
      </c>
      <c r="C65" s="4">
        <f t="shared" si="0"/>
        <v>9901.65</v>
      </c>
      <c r="D65" s="4">
        <f>'TB Combined'!H62</f>
        <v>9901.65</v>
      </c>
    </row>
    <row r="66" spans="1:4" ht="15.5">
      <c r="A66" s="3" t="s">
        <v>62</v>
      </c>
      <c r="B66" s="6">
        <f>SUM(B60:B65)</f>
        <v>5324.0199999999968</v>
      </c>
      <c r="C66" s="6">
        <f t="shared" si="0"/>
        <v>42569.96</v>
      </c>
      <c r="D66" s="6">
        <f>SUM(D60:D65)</f>
        <v>42569.96</v>
      </c>
    </row>
    <row r="67" spans="1:4" ht="15.5">
      <c r="A67" s="3" t="s">
        <v>63</v>
      </c>
      <c r="B67" s="5"/>
      <c r="C67" s="5">
        <f t="shared" si="0"/>
        <v>0</v>
      </c>
      <c r="D67" s="5"/>
    </row>
    <row r="68" spans="1:4" ht="15.5">
      <c r="A68" s="2" t="s">
        <v>64</v>
      </c>
      <c r="B68" s="4">
        <f>C68-'IS (Combined) (Q2)'!B63</f>
        <v>29693.160000000003</v>
      </c>
      <c r="C68" s="4">
        <f t="shared" si="0"/>
        <v>33763.160000000003</v>
      </c>
      <c r="D68" s="4">
        <f>'TB Combined'!H63</f>
        <v>33763.160000000003</v>
      </c>
    </row>
    <row r="69" spans="1:4" ht="15.5">
      <c r="A69" s="2" t="s">
        <v>65</v>
      </c>
      <c r="B69" s="4">
        <f>C69-'IS (Combined) (Q2)'!B64</f>
        <v>3726.3900000000012</v>
      </c>
      <c r="C69" s="4">
        <f t="shared" si="0"/>
        <v>19854.650000000001</v>
      </c>
      <c r="D69" s="4">
        <f>'TB Combined'!H64</f>
        <v>19854.650000000001</v>
      </c>
    </row>
    <row r="70" spans="1:4" ht="15.5">
      <c r="A70" s="2" t="s">
        <v>66</v>
      </c>
      <c r="B70" s="4">
        <f>C70-'IS (Combined) (Q2)'!B65</f>
        <v>-7351.33</v>
      </c>
      <c r="C70" s="4">
        <f t="shared" si="0"/>
        <v>1656</v>
      </c>
      <c r="D70" s="4">
        <f>'TB Combined'!H65</f>
        <v>1656</v>
      </c>
    </row>
    <row r="71" spans="1:4" ht="15.5">
      <c r="A71" s="3" t="s">
        <v>67</v>
      </c>
      <c r="B71" s="6">
        <f>SUM(B68:B70)</f>
        <v>26068.22</v>
      </c>
      <c r="C71" s="6">
        <f t="shared" si="0"/>
        <v>55273.810000000005</v>
      </c>
      <c r="D71" s="6">
        <f>SUM(D68:D70)</f>
        <v>55273.810000000005</v>
      </c>
    </row>
    <row r="72" spans="1:4" ht="15.5">
      <c r="A72" s="3" t="s">
        <v>68</v>
      </c>
      <c r="B72" s="5"/>
      <c r="C72" s="5">
        <f t="shared" si="0"/>
        <v>0</v>
      </c>
      <c r="D72" s="5"/>
    </row>
    <row r="73" spans="1:4" ht="15.5">
      <c r="A73" s="2" t="s">
        <v>69</v>
      </c>
      <c r="B73" s="4">
        <f>C73-'IS (Combined) (Q2)'!B68</f>
        <v>-187.28999999999996</v>
      </c>
      <c r="C73" s="4">
        <f t="shared" si="0"/>
        <v>604.71</v>
      </c>
      <c r="D73" s="4">
        <f>'TB Combined'!H66</f>
        <v>604.71</v>
      </c>
    </row>
    <row r="74" spans="1:4" ht="15.5">
      <c r="A74" s="2" t="s">
        <v>70</v>
      </c>
      <c r="B74" s="4">
        <f>C74-'IS (Combined) (Q2)'!B69</f>
        <v>4024.1800000000003</v>
      </c>
      <c r="C74" s="4">
        <f t="shared" si="0"/>
        <v>4268.8900000000003</v>
      </c>
      <c r="D74" s="4">
        <f>'TB Combined'!H67</f>
        <v>4268.8900000000003</v>
      </c>
    </row>
    <row r="75" spans="1:4" ht="15.5">
      <c r="A75" s="2" t="s">
        <v>71</v>
      </c>
      <c r="B75" s="4">
        <f>C75-'IS (Combined) (Q2)'!B70</f>
        <v>0</v>
      </c>
      <c r="C75" s="4">
        <f t="shared" si="0"/>
        <v>750</v>
      </c>
      <c r="D75" s="4">
        <f>'TB Combined'!H68</f>
        <v>750</v>
      </c>
    </row>
    <row r="76" spans="1:4" ht="15.5">
      <c r="A76" s="2" t="s">
        <v>72</v>
      </c>
      <c r="B76" s="4">
        <f>C76-'IS (Combined) (Q2)'!B71</f>
        <v>37573.770000000004</v>
      </c>
      <c r="C76" s="4">
        <f t="shared" si="0"/>
        <v>40012.36</v>
      </c>
      <c r="D76" s="4">
        <f>'TB Combined'!H69</f>
        <v>40012.36</v>
      </c>
    </row>
    <row r="77" spans="1:4" ht="15.5">
      <c r="A77" s="3" t="s">
        <v>73</v>
      </c>
      <c r="B77" s="6">
        <f>SUM(B73:B76)</f>
        <v>41410.660000000003</v>
      </c>
      <c r="C77" s="6">
        <f t="shared" si="0"/>
        <v>45635.96</v>
      </c>
      <c r="D77" s="6">
        <f>SUM(D73:D76)</f>
        <v>45635.96</v>
      </c>
    </row>
    <row r="78" spans="1:4" ht="15.5">
      <c r="A78" s="2" t="s">
        <v>74</v>
      </c>
      <c r="B78" s="4">
        <f>C78-'IS (Combined) (Q2)'!B73</f>
        <v>3908.6099999999997</v>
      </c>
      <c r="C78" s="4">
        <f t="shared" ref="C78:C85" si="2">D78</f>
        <v>6526.11</v>
      </c>
      <c r="D78" s="4">
        <f>'TB Combined'!H70</f>
        <v>6526.11</v>
      </c>
    </row>
    <row r="79" spans="1:4" ht="15.5">
      <c r="A79" s="2" t="s">
        <v>191</v>
      </c>
      <c r="B79" s="4">
        <f>C79-'IS (Combined) (Q2)'!B74</f>
        <v>32651.110000000008</v>
      </c>
      <c r="C79" s="4">
        <f t="shared" si="2"/>
        <v>62775.220000000008</v>
      </c>
      <c r="D79" s="4">
        <f>'TB Combined'!H71</f>
        <v>62775.220000000008</v>
      </c>
    </row>
    <row r="80" spans="1:4" ht="15.5">
      <c r="A80" s="2" t="s">
        <v>192</v>
      </c>
      <c r="B80" s="4">
        <f>C80-'IS (Combined) (Q2)'!B75</f>
        <v>57172.789999999994</v>
      </c>
      <c r="C80" s="4">
        <f t="shared" si="2"/>
        <v>114345.58</v>
      </c>
      <c r="D80" s="4">
        <f>'TB Combined'!H72</f>
        <v>114345.58</v>
      </c>
    </row>
    <row r="81" spans="1:6" ht="15.5">
      <c r="A81" s="3" t="s">
        <v>75</v>
      </c>
      <c r="B81" s="6">
        <f>B78+B77+B71+B66+B58+B52+B49+B42+B43+B79+B80</f>
        <v>173363.93000000005</v>
      </c>
      <c r="C81" s="6">
        <f>C78+C77+C71+C66+C58+C52+C49+C42+C43+C79+C80</f>
        <v>366889.70999999996</v>
      </c>
      <c r="D81" s="6">
        <f>D78+D77+D71+D66+D58+D52+D49+D42+D43+D79+D80</f>
        <v>366889.70999999996</v>
      </c>
      <c r="F81" s="42"/>
    </row>
    <row r="82" spans="1:6" ht="15.5">
      <c r="A82" s="2"/>
      <c r="B82" s="4"/>
      <c r="C82" s="4"/>
      <c r="D82" s="4"/>
    </row>
    <row r="83" spans="1:6" ht="15.5">
      <c r="A83" s="3" t="s">
        <v>76</v>
      </c>
      <c r="B83" s="5">
        <f>B36-B81</f>
        <v>261390.45</v>
      </c>
      <c r="C83" s="5">
        <f t="shared" si="2"/>
        <v>551209.67000000016</v>
      </c>
      <c r="D83" s="5">
        <f>D36-D81</f>
        <v>551209.67000000016</v>
      </c>
      <c r="F83" s="41"/>
    </row>
    <row r="84" spans="1:6" ht="15.5">
      <c r="A84" s="2" t="s">
        <v>437</v>
      </c>
      <c r="B84" s="407">
        <f>C84-'IS (Combined) (Q2)'!B79</f>
        <v>-182402.26</v>
      </c>
      <c r="C84" s="407">
        <f t="shared" si="2"/>
        <v>-287481.82</v>
      </c>
      <c r="D84" s="407">
        <f>-'TB Combined'!H87</f>
        <v>-287481.82</v>
      </c>
    </row>
    <row r="85" spans="1:6" ht="15.5">
      <c r="A85" s="405" t="s">
        <v>438</v>
      </c>
      <c r="B85" s="406">
        <f>SUM(B83:B84)</f>
        <v>78988.19</v>
      </c>
      <c r="C85" s="406">
        <f t="shared" si="2"/>
        <v>263727.85000000015</v>
      </c>
      <c r="D85" s="406">
        <f>SUM(D83:D84)</f>
        <v>263727.85000000015</v>
      </c>
    </row>
    <row r="86" spans="1:6" ht="15.5">
      <c r="A86" s="2"/>
      <c r="B86" s="2"/>
      <c r="C86" s="4"/>
      <c r="D86" s="4"/>
    </row>
    <row r="87" spans="1:6">
      <c r="D87">
        <f>D81/D36</f>
        <v>0.39961873190677888</v>
      </c>
    </row>
  </sheetData>
  <mergeCells count="6">
    <mergeCell ref="A3:D3"/>
    <mergeCell ref="A4:D4"/>
    <mergeCell ref="A5:D5"/>
    <mergeCell ref="A6:D6"/>
    <mergeCell ref="A1:D1"/>
    <mergeCell ref="A2:D2"/>
  </mergeCells>
  <phoneticPr fontId="4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B4" sqref="B4"/>
    </sheetView>
  </sheetViews>
  <sheetFormatPr defaultRowHeight="14"/>
  <cols>
    <col min="1" max="1" width="39.25" bestFit="1" customWidth="1"/>
    <col min="2" max="2" width="11.08203125" bestFit="1" customWidth="1"/>
  </cols>
  <sheetData>
    <row r="3" spans="1:2" ht="15.5">
      <c r="A3" s="3" t="s">
        <v>79</v>
      </c>
      <c r="B3" s="5"/>
    </row>
    <row r="4" spans="1:2" ht="15.5">
      <c r="A4" s="2" t="s">
        <v>456</v>
      </c>
      <c r="B4" s="4">
        <v>1395</v>
      </c>
    </row>
    <row r="5" spans="1:2" ht="15.5">
      <c r="A5" s="2" t="s">
        <v>457</v>
      </c>
      <c r="B5" s="4">
        <v>40859.39</v>
      </c>
    </row>
    <row r="6" spans="1:2" ht="15.5">
      <c r="A6" s="2" t="s">
        <v>458</v>
      </c>
      <c r="B6" s="4">
        <v>17886.5</v>
      </c>
    </row>
    <row r="7" spans="1:2" ht="15.5">
      <c r="A7" s="2" t="s">
        <v>459</v>
      </c>
      <c r="B7" s="4">
        <v>26529.17</v>
      </c>
    </row>
    <row r="8" spans="1:2" ht="15.5">
      <c r="A8" s="2" t="str">
        <f>'Fixed Assets'!C15</f>
        <v>Units 123 and 114 - remodels</v>
      </c>
      <c r="B8" s="4">
        <f>'Fixed Assets'!E15</f>
        <v>55382.62</v>
      </c>
    </row>
    <row r="9" spans="1:2" ht="15.5">
      <c r="A9" s="2" t="s">
        <v>460</v>
      </c>
      <c r="B9" s="407">
        <f>'Fixed Assets'!E17</f>
        <v>10221.09</v>
      </c>
    </row>
    <row r="10" spans="1:2" ht="15.5">
      <c r="A10" s="2" t="s">
        <v>455</v>
      </c>
      <c r="B10" s="4">
        <f>SUM(B4:B9)</f>
        <v>152273.76999999999</v>
      </c>
    </row>
    <row r="11" spans="1:2" ht="15.5">
      <c r="A11" s="2"/>
      <c r="B11" s="4"/>
    </row>
    <row r="12" spans="1:2" ht="15.5">
      <c r="A12" s="2"/>
      <c r="B12" s="4"/>
    </row>
    <row r="13" spans="1:2" ht="15.5">
      <c r="A13" s="2"/>
      <c r="B13" s="4"/>
    </row>
    <row r="14" spans="1:2" ht="15.5">
      <c r="A14" s="2"/>
      <c r="B14" s="4"/>
    </row>
    <row r="15" spans="1:2" ht="15.5">
      <c r="A15" s="2"/>
      <c r="B15" s="4"/>
    </row>
    <row r="16" spans="1:2" ht="15.5">
      <c r="A16" s="2"/>
      <c r="B16" s="4"/>
    </row>
    <row r="17" spans="1:2" ht="15.5">
      <c r="A17" s="2"/>
      <c r="B17" s="4"/>
    </row>
    <row r="18" spans="1:2" ht="15.5">
      <c r="A18" s="2"/>
      <c r="B18" s="4"/>
    </row>
    <row r="19" spans="1:2" ht="15.5">
      <c r="A19" s="2"/>
      <c r="B19" s="4"/>
    </row>
    <row r="20" spans="1:2" ht="15.5">
      <c r="A20" s="2"/>
      <c r="B2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6"/>
  <sheetViews>
    <sheetView workbookViewId="0">
      <selection activeCell="A19" sqref="A19"/>
    </sheetView>
  </sheetViews>
  <sheetFormatPr defaultRowHeight="14"/>
  <cols>
    <col min="1" max="1" width="29" bestFit="1" customWidth="1"/>
    <col min="2" max="2" width="11.08203125" bestFit="1" customWidth="1"/>
  </cols>
  <sheetData>
    <row r="4" spans="1:2" ht="15.5">
      <c r="A4" s="2" t="s">
        <v>439</v>
      </c>
      <c r="B4" s="4">
        <f>'TB Combined'!H78</f>
        <v>4275</v>
      </c>
    </row>
    <row r="5" spans="1:2" ht="15.5">
      <c r="A5" s="2" t="s">
        <v>153</v>
      </c>
      <c r="B5" s="4">
        <f>'TB Combined'!H79</f>
        <v>344000</v>
      </c>
    </row>
    <row r="6" spans="1:2" ht="15.5">
      <c r="A6" s="2" t="s">
        <v>154</v>
      </c>
      <c r="B6" s="4">
        <f>'TB Combined'!H80</f>
        <v>575</v>
      </c>
    </row>
    <row r="7" spans="1:2" ht="15.5">
      <c r="A7" s="2" t="s">
        <v>155</v>
      </c>
      <c r="B7" s="4">
        <f>'TB Combined'!H81</f>
        <v>113505.01</v>
      </c>
    </row>
    <row r="8" spans="1:2" ht="15.5">
      <c r="A8" s="2" t="s">
        <v>156</v>
      </c>
      <c r="B8" s="4">
        <f>'TB Combined'!H82</f>
        <v>100000</v>
      </c>
    </row>
    <row r="9" spans="1:2" ht="15.5">
      <c r="A9" s="2" t="s">
        <v>157</v>
      </c>
      <c r="B9" s="4">
        <f>'TB Combined'!H83</f>
        <v>70065.009999999995</v>
      </c>
    </row>
    <row r="10" spans="1:2" ht="15.5">
      <c r="A10" s="2" t="s">
        <v>158</v>
      </c>
      <c r="B10" s="4">
        <f>'TB Combined'!H84</f>
        <v>34448</v>
      </c>
    </row>
    <row r="11" spans="1:2" ht="15.5">
      <c r="A11" s="2" t="s">
        <v>160</v>
      </c>
      <c r="B11" s="4">
        <f>'TB Combined'!H85</f>
        <v>13210</v>
      </c>
    </row>
    <row r="12" spans="1:2" ht="15.5">
      <c r="A12" s="2" t="s">
        <v>164</v>
      </c>
      <c r="B12" s="4">
        <f>'TB Combined'!H86</f>
        <v>-16082.439999999999</v>
      </c>
    </row>
    <row r="13" spans="1:2" ht="15.5">
      <c r="A13" s="2" t="s">
        <v>386</v>
      </c>
      <c r="B13" s="4">
        <f>'TB Combined'!H87</f>
        <v>287481.82</v>
      </c>
    </row>
    <row r="14" spans="1:2" ht="15.5">
      <c r="A14" s="2" t="s">
        <v>387</v>
      </c>
      <c r="B14" s="4">
        <f>'TB Combined'!H88</f>
        <v>8555.0595999999987</v>
      </c>
    </row>
    <row r="15" spans="1:2" ht="15.5">
      <c r="A15" s="2" t="s">
        <v>166</v>
      </c>
      <c r="B15" s="4">
        <f>'TB Combined'!H89</f>
        <v>8410.2000000000007</v>
      </c>
    </row>
    <row r="16" spans="1:2" ht="15.5">
      <c r="A16" s="2" t="s">
        <v>167</v>
      </c>
      <c r="B16" s="4">
        <f>'TB Combined'!H90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3"/>
  <sheetViews>
    <sheetView workbookViewId="0">
      <selection activeCell="E20" sqref="E20"/>
    </sheetView>
  </sheetViews>
  <sheetFormatPr defaultRowHeight="14"/>
  <cols>
    <col min="1" max="1" width="12.33203125" style="408" bestFit="1" customWidth="1"/>
    <col min="2" max="2" width="16.08203125" style="408" bestFit="1" customWidth="1"/>
    <col min="3" max="3" width="23.33203125" style="408" bestFit="1" customWidth="1"/>
    <col min="4" max="4" width="13.58203125" style="408" bestFit="1" customWidth="1"/>
    <col min="5" max="5" width="14.75" style="408" bestFit="1" customWidth="1"/>
    <col min="6" max="6" width="8.6640625" style="409"/>
    <col min="7" max="16384" width="8.6640625" style="408"/>
  </cols>
  <sheetData>
    <row r="3" spans="1:6">
      <c r="A3" s="408" t="s">
        <v>440</v>
      </c>
      <c r="B3" s="408" t="s">
        <v>441</v>
      </c>
      <c r="C3" s="408" t="s">
        <v>442</v>
      </c>
      <c r="D3" s="408" t="s">
        <v>443</v>
      </c>
      <c r="E3" s="408" t="s">
        <v>444</v>
      </c>
      <c r="F3" s="409" t="s">
        <v>445</v>
      </c>
    </row>
    <row r="4" spans="1:6">
      <c r="A4" s="408" t="s">
        <v>446</v>
      </c>
      <c r="D4" s="410">
        <v>45755</v>
      </c>
      <c r="E4" s="411"/>
    </row>
    <row r="5" spans="1:6">
      <c r="B5" s="408" t="s">
        <v>447</v>
      </c>
      <c r="C5" s="408" t="s">
        <v>448</v>
      </c>
      <c r="D5" s="410">
        <f>D4</f>
        <v>45755</v>
      </c>
      <c r="E5" s="412">
        <v>2050000</v>
      </c>
      <c r="F5" s="409" t="s">
        <v>349</v>
      </c>
    </row>
    <row r="6" spans="1:6">
      <c r="B6" s="408" t="s">
        <v>446</v>
      </c>
      <c r="C6" s="408" t="s">
        <v>448</v>
      </c>
      <c r="D6" s="410">
        <f t="shared" ref="D6" si="0">D5</f>
        <v>45755</v>
      </c>
      <c r="E6" s="412">
        <v>11817000</v>
      </c>
      <c r="F6" s="409">
        <v>27.5</v>
      </c>
    </row>
    <row r="7" spans="1:6">
      <c r="B7" s="408" t="s">
        <v>449</v>
      </c>
      <c r="C7" s="408" t="s">
        <v>448</v>
      </c>
      <c r="D7" s="410">
        <v>45755</v>
      </c>
      <c r="E7" s="412">
        <v>2575500</v>
      </c>
      <c r="F7" s="409">
        <v>5</v>
      </c>
    </row>
    <row r="8" spans="1:6">
      <c r="B8" s="408" t="s">
        <v>450</v>
      </c>
      <c r="C8" s="408" t="s">
        <v>448</v>
      </c>
      <c r="D8" s="410">
        <f>D6</f>
        <v>45755</v>
      </c>
      <c r="E8" s="412">
        <v>757500</v>
      </c>
      <c r="F8" s="409">
        <v>15</v>
      </c>
    </row>
    <row r="9" spans="1:6">
      <c r="D9" s="410"/>
      <c r="E9" s="412"/>
    </row>
    <row r="10" spans="1:6">
      <c r="A10" s="408" t="s">
        <v>451</v>
      </c>
      <c r="B10" s="408" t="s">
        <v>447</v>
      </c>
      <c r="C10" s="408" t="s">
        <v>452</v>
      </c>
      <c r="D10" s="410">
        <f>D8</f>
        <v>45755</v>
      </c>
      <c r="E10" s="412">
        <f>ROUND([3]Purchase!E58,2)</f>
        <v>15950.67</v>
      </c>
      <c r="F10" s="409" t="s">
        <v>349</v>
      </c>
    </row>
    <row r="11" spans="1:6">
      <c r="B11" s="408" t="s">
        <v>446</v>
      </c>
      <c r="C11" s="408" t="s">
        <v>452</v>
      </c>
      <c r="D11" s="410">
        <f t="shared" ref="D11" si="1">D10</f>
        <v>45755</v>
      </c>
      <c r="E11" s="412">
        <f>ROUND([3]Purchase!E59,2)</f>
        <v>91945.86</v>
      </c>
      <c r="F11" s="409">
        <v>27.5</v>
      </c>
    </row>
    <row r="12" spans="1:6">
      <c r="B12" s="408" t="s">
        <v>449</v>
      </c>
      <c r="C12" s="408" t="s">
        <v>452</v>
      </c>
      <c r="D12" s="410">
        <v>45755</v>
      </c>
      <c r="E12" s="412">
        <f>ROUND([3]Purchase!E60,2)</f>
        <v>20039.48</v>
      </c>
      <c r="F12" s="409">
        <v>5</v>
      </c>
    </row>
    <row r="13" spans="1:6">
      <c r="B13" s="408" t="s">
        <v>450</v>
      </c>
      <c r="C13" s="408" t="s">
        <v>452</v>
      </c>
      <c r="D13" s="410">
        <f>D11</f>
        <v>45755</v>
      </c>
      <c r="E13" s="412">
        <f>ROUND([3]Purchase!E61,2)</f>
        <v>5893.97</v>
      </c>
      <c r="F13" s="409">
        <v>15</v>
      </c>
    </row>
    <row r="14" spans="1:6">
      <c r="D14" s="410"/>
      <c r="E14" s="412"/>
    </row>
    <row r="15" spans="1:6">
      <c r="A15" s="408" t="s">
        <v>450</v>
      </c>
      <c r="C15" s="408" t="s">
        <v>453</v>
      </c>
      <c r="D15" s="410">
        <v>45755</v>
      </c>
      <c r="E15" s="412">
        <v>55382.62</v>
      </c>
      <c r="F15" s="409">
        <v>15</v>
      </c>
    </row>
    <row r="16" spans="1:6">
      <c r="A16" s="408" t="s">
        <v>450</v>
      </c>
      <c r="D16" s="410">
        <v>45772</v>
      </c>
      <c r="E16" s="412">
        <v>5000</v>
      </c>
      <c r="F16" s="409">
        <v>15</v>
      </c>
    </row>
    <row r="17" spans="1:6">
      <c r="A17" s="408" t="s">
        <v>450</v>
      </c>
      <c r="C17" s="408" t="s">
        <v>454</v>
      </c>
      <c r="D17" s="410">
        <f>'[3]Bank Movements (Sorted) (2)'!E34</f>
        <v>45814</v>
      </c>
      <c r="E17" s="413">
        <f>-'[3]Bank Movements (Sorted) (2)'!H34</f>
        <v>10221.09</v>
      </c>
      <c r="F17" s="409">
        <v>15</v>
      </c>
    </row>
    <row r="18" spans="1:6" customFormat="1">
      <c r="A18" t="s">
        <v>450</v>
      </c>
      <c r="D18" s="417">
        <v>45859</v>
      </c>
      <c r="E18" s="418">
        <f>-'[4]Movements Sorted Q3'!H13-'[4]Movements Sorted Q3'!H14</f>
        <v>16613.41</v>
      </c>
      <c r="F18" s="40">
        <v>15</v>
      </c>
    </row>
    <row r="19" spans="1:6" customFormat="1">
      <c r="A19" t="s">
        <v>450</v>
      </c>
      <c r="D19" s="417">
        <v>45911</v>
      </c>
      <c r="E19" s="418">
        <f>-'[4]Movements Sorted Q3'!H9-'[4]Movements Sorted Q3'!H10</f>
        <v>16004.48</v>
      </c>
      <c r="F19" s="40">
        <v>15</v>
      </c>
    </row>
    <row r="20" spans="1:6" customFormat="1">
      <c r="A20" t="s">
        <v>450</v>
      </c>
      <c r="D20" s="417"/>
      <c r="E20" s="418">
        <f>SUM('TB Combined'!B73:B77)</f>
        <v>199699.07</v>
      </c>
      <c r="F20" s="40">
        <v>15</v>
      </c>
    </row>
    <row r="21" spans="1:6" customFormat="1">
      <c r="D21" s="417"/>
      <c r="E21" s="418"/>
      <c r="F21" s="40"/>
    </row>
    <row r="22" spans="1:6" customFormat="1">
      <c r="D22" s="417"/>
      <c r="E22" s="418"/>
      <c r="F22" s="40"/>
    </row>
    <row r="23" spans="1:6" customFormat="1">
      <c r="D23" s="417"/>
      <c r="E23" s="418"/>
      <c r="F23" s="40"/>
    </row>
    <row r="24" spans="1:6" customFormat="1">
      <c r="D24" s="417"/>
      <c r="E24" s="418"/>
      <c r="F24" s="40"/>
    </row>
    <row r="25" spans="1:6" customFormat="1">
      <c r="D25" s="417"/>
      <c r="E25" s="418"/>
      <c r="F25" s="40"/>
    </row>
    <row r="26" spans="1:6" customFormat="1">
      <c r="D26" s="417"/>
      <c r="E26" s="418"/>
      <c r="F26" s="40"/>
    </row>
    <row r="27" spans="1:6" customFormat="1">
      <c r="D27" s="417"/>
      <c r="E27" s="418"/>
      <c r="F27" s="40"/>
    </row>
    <row r="28" spans="1:6" customFormat="1">
      <c r="D28" s="417"/>
      <c r="E28" s="418"/>
      <c r="F28" s="40"/>
    </row>
    <row r="29" spans="1:6" customFormat="1">
      <c r="D29" s="417"/>
      <c r="E29" s="418"/>
      <c r="F29" s="40"/>
    </row>
    <row r="30" spans="1:6" customFormat="1">
      <c r="D30" s="417"/>
      <c r="E30" s="418"/>
      <c r="F30" s="40"/>
    </row>
    <row r="31" spans="1:6" customFormat="1">
      <c r="D31" s="417"/>
      <c r="E31" s="418"/>
      <c r="F31" s="40"/>
    </row>
    <row r="33" spans="1:5">
      <c r="A33" s="408" t="s">
        <v>455</v>
      </c>
      <c r="E33" s="411">
        <f>SUM(E5:E32)</f>
        <v>17636750.650000002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4"/>
  <sheetViews>
    <sheetView showWhiteSpace="0" workbookViewId="0">
      <selection activeCell="C7" sqref="C7"/>
    </sheetView>
  </sheetViews>
  <sheetFormatPr defaultRowHeight="14"/>
  <cols>
    <col min="1" max="1" width="44.5" bestFit="1" customWidth="1"/>
    <col min="2" max="2" width="42.9140625" hidden="1" customWidth="1"/>
    <col min="3" max="3" width="42.9140625" bestFit="1" customWidth="1"/>
  </cols>
  <sheetData>
    <row r="1" spans="1:3" ht="23">
      <c r="A1" s="472" t="s">
        <v>178</v>
      </c>
      <c r="B1" s="472"/>
    </row>
    <row r="2" spans="1:3">
      <c r="A2" s="469"/>
      <c r="B2" s="469"/>
    </row>
    <row r="3" spans="1:3" ht="16.5">
      <c r="A3" s="1" t="s">
        <v>6</v>
      </c>
      <c r="B3" s="1" t="s">
        <v>180</v>
      </c>
      <c r="C3" s="1" t="s">
        <v>172</v>
      </c>
    </row>
    <row r="4" spans="1:3" ht="15.5">
      <c r="A4" s="3" t="s">
        <v>9</v>
      </c>
      <c r="B4" s="8"/>
      <c r="C4" s="8"/>
    </row>
    <row r="5" spans="1:3" ht="15.5">
      <c r="A5" s="3" t="s">
        <v>10</v>
      </c>
      <c r="B5" s="8"/>
      <c r="C5" s="8"/>
    </row>
    <row r="6" spans="1:3" ht="15.5">
      <c r="A6" s="3" t="s">
        <v>11</v>
      </c>
      <c r="B6" s="8"/>
      <c r="C6" s="8"/>
    </row>
    <row r="7" spans="1:3" ht="15.5">
      <c r="A7" s="2" t="s">
        <v>12</v>
      </c>
      <c r="B7" s="9">
        <v>346908.26</v>
      </c>
      <c r="C7" s="9">
        <f>'IS (Combined)'!D12</f>
        <v>895738.81</v>
      </c>
    </row>
    <row r="8" spans="1:3" ht="15.5">
      <c r="A8" s="2" t="s">
        <v>13</v>
      </c>
      <c r="B8" s="9">
        <v>3933</v>
      </c>
      <c r="C8" s="9">
        <f>'IS (Combined)'!D13</f>
        <v>3933</v>
      </c>
    </row>
    <row r="9" spans="1:3" ht="15.5">
      <c r="A9" s="2" t="s">
        <v>14</v>
      </c>
      <c r="B9" s="9">
        <v>-954.85</v>
      </c>
      <c r="C9" s="9">
        <f>'IS (Combined)'!D15</f>
        <v>-15129.85</v>
      </c>
    </row>
    <row r="10" spans="1:3" ht="15.5">
      <c r="A10" s="3" t="s">
        <v>15</v>
      </c>
      <c r="B10" s="10">
        <v>349886.41</v>
      </c>
      <c r="C10" s="10">
        <f>'IS (Combined)'!D16</f>
        <v>830313.64000000013</v>
      </c>
    </row>
    <row r="11" spans="1:3" ht="15.5">
      <c r="A11" s="3" t="s">
        <v>16</v>
      </c>
      <c r="B11" s="8"/>
      <c r="C11" s="8">
        <f>'IS (Combined)'!D17</f>
        <v>0</v>
      </c>
    </row>
    <row r="12" spans="1:3" ht="15.5">
      <c r="A12" s="2" t="s">
        <v>17</v>
      </c>
      <c r="B12" s="9">
        <v>519.75</v>
      </c>
      <c r="C12" s="9">
        <f>'IS (Combined)'!D18</f>
        <v>1331.24</v>
      </c>
    </row>
    <row r="13" spans="1:3" ht="15.5">
      <c r="A13" s="2" t="s">
        <v>18</v>
      </c>
      <c r="B13" s="9">
        <v>1435.46</v>
      </c>
      <c r="C13" s="9">
        <f>'IS (Combined)'!D19</f>
        <v>2780.92</v>
      </c>
    </row>
    <row r="14" spans="1:3" ht="15.5">
      <c r="A14" s="2" t="s">
        <v>19</v>
      </c>
      <c r="B14" s="9">
        <v>113.4</v>
      </c>
      <c r="C14" s="9">
        <f>'IS (Combined)'!D20</f>
        <v>193.72</v>
      </c>
    </row>
    <row r="15" spans="1:3" ht="15.5">
      <c r="A15" s="2" t="s">
        <v>20</v>
      </c>
      <c r="B15" s="9">
        <v>382.5</v>
      </c>
      <c r="C15" s="9">
        <f>'IS (Combined)'!D22</f>
        <v>1350</v>
      </c>
    </row>
    <row r="16" spans="1:3" ht="15.5">
      <c r="A16" s="2" t="s">
        <v>21</v>
      </c>
      <c r="B16" s="9">
        <v>2661.86</v>
      </c>
      <c r="C16" s="9">
        <f>'IS (Combined)'!D24</f>
        <v>5263.24</v>
      </c>
    </row>
    <row r="17" spans="1:3" ht="15.5">
      <c r="A17" s="2" t="s">
        <v>22</v>
      </c>
      <c r="B17" s="9">
        <v>30</v>
      </c>
      <c r="C17" s="9">
        <f>'IS (Combined)'!D25</f>
        <v>81</v>
      </c>
    </row>
    <row r="18" spans="1:3" ht="15.5">
      <c r="A18" s="2" t="s">
        <v>23</v>
      </c>
      <c r="B18" s="9">
        <v>2250</v>
      </c>
      <c r="C18" s="9">
        <f>'IS (Combined)'!D26</f>
        <v>5300</v>
      </c>
    </row>
    <row r="19" spans="1:3" ht="15.5">
      <c r="A19" s="2" t="s">
        <v>24</v>
      </c>
      <c r="B19" s="9">
        <v>3770.55</v>
      </c>
      <c r="C19" s="9">
        <f>'IS (Combined)'!D27</f>
        <v>17996.8</v>
      </c>
    </row>
    <row r="20" spans="1:3" ht="15.5">
      <c r="A20" s="2" t="s">
        <v>25</v>
      </c>
      <c r="B20" s="9">
        <v>4154.7299999999996</v>
      </c>
      <c r="C20" s="9">
        <f>'IS (Combined)'!D28</f>
        <v>9473.42</v>
      </c>
    </row>
    <row r="21" spans="1:3" ht="15.5">
      <c r="A21" s="2" t="s">
        <v>26</v>
      </c>
      <c r="B21" s="9">
        <v>11881.92</v>
      </c>
      <c r="C21" s="9">
        <f>'IS (Combined)'!D29</f>
        <v>24467.27</v>
      </c>
    </row>
    <row r="22" spans="1:3" ht="15.5">
      <c r="A22" s="2" t="s">
        <v>27</v>
      </c>
      <c r="B22" s="9">
        <v>-3823.65</v>
      </c>
      <c r="C22" s="9">
        <f>'IS (Combined)'!D30</f>
        <v>-221</v>
      </c>
    </row>
    <row r="23" spans="1:3" ht="15.5">
      <c r="A23" s="3" t="s">
        <v>28</v>
      </c>
      <c r="B23" s="10">
        <v>23376.52</v>
      </c>
      <c r="C23" s="10">
        <f>'IS (Combined)'!D31</f>
        <v>68553.179999999993</v>
      </c>
    </row>
    <row r="24" spans="1:3" ht="15.5">
      <c r="A24" s="2" t="s">
        <v>29</v>
      </c>
      <c r="B24" s="9">
        <v>7410</v>
      </c>
      <c r="C24" s="9">
        <f>'IS (Combined)'!D32</f>
        <v>16760</v>
      </c>
    </row>
    <row r="25" spans="1:3" ht="15.5">
      <c r="A25" s="2" t="s">
        <v>30</v>
      </c>
      <c r="B25" s="9">
        <v>272.32</v>
      </c>
      <c r="C25" s="9">
        <f>'IS (Combined)'!D33</f>
        <v>849.56</v>
      </c>
    </row>
    <row r="26" spans="1:3" ht="15.5">
      <c r="A26" s="2" t="s">
        <v>31</v>
      </c>
      <c r="B26" s="9">
        <v>286.25</v>
      </c>
      <c r="C26" s="9">
        <f>'IS (Combined)'!D34</f>
        <v>519.75</v>
      </c>
    </row>
    <row r="27" spans="1:3" ht="15.5">
      <c r="A27" s="2" t="s">
        <v>32</v>
      </c>
      <c r="B27" s="9">
        <v>1008.75</v>
      </c>
      <c r="C27" s="9">
        <f>'IS (Combined)'!D35</f>
        <v>1103.25</v>
      </c>
    </row>
    <row r="28" spans="1:3" ht="15.5">
      <c r="A28" s="3" t="s">
        <v>33</v>
      </c>
      <c r="B28" s="10">
        <v>382240.25</v>
      </c>
      <c r="C28" s="10">
        <f>'IS (Combined)'!D36</f>
        <v>918099.38000000012</v>
      </c>
    </row>
    <row r="29" spans="1:3" ht="15.5">
      <c r="A29" s="3" t="s">
        <v>34</v>
      </c>
      <c r="B29" s="8"/>
      <c r="C29" s="8">
        <f>'IS (Combined)'!D37</f>
        <v>0</v>
      </c>
    </row>
    <row r="30" spans="1:3" ht="15.5">
      <c r="A30" s="3" t="s">
        <v>35</v>
      </c>
      <c r="B30" s="8"/>
      <c r="C30" s="8">
        <f>'IS (Combined)'!D38</f>
        <v>0</v>
      </c>
    </row>
    <row r="31" spans="1:3" ht="15.5">
      <c r="A31" s="2" t="s">
        <v>36</v>
      </c>
      <c r="B31" s="9">
        <v>244.91</v>
      </c>
      <c r="C31" s="9">
        <f>'IS (Combined)'!D40</f>
        <v>244.91</v>
      </c>
    </row>
    <row r="32" spans="1:3" ht="15.5">
      <c r="A32" s="2" t="s">
        <v>37</v>
      </c>
      <c r="B32" s="9">
        <v>4439.29</v>
      </c>
      <c r="C32" s="9">
        <f>'IS (Combined)'!D41</f>
        <v>9139.9</v>
      </c>
    </row>
    <row r="33" spans="1:3" ht="15.5">
      <c r="A33" s="3" t="s">
        <v>38</v>
      </c>
      <c r="B33" s="10">
        <v>4684.2</v>
      </c>
      <c r="C33" s="10">
        <f>'IS (Combined)'!D42</f>
        <v>9479.81</v>
      </c>
    </row>
    <row r="34" spans="1:3" ht="15.5">
      <c r="A34" s="2" t="s">
        <v>39</v>
      </c>
      <c r="B34" s="9">
        <v>680.35</v>
      </c>
      <c r="C34" s="9">
        <f>'IS (Combined)'!D43</f>
        <v>1094.3</v>
      </c>
    </row>
    <row r="35" spans="1:3" ht="15.5">
      <c r="A35" s="3" t="s">
        <v>40</v>
      </c>
      <c r="B35" s="8"/>
      <c r="C35" s="8">
        <f>'IS (Combined)'!D44</f>
        <v>0</v>
      </c>
    </row>
    <row r="36" spans="1:3" ht="15.5">
      <c r="A36" s="2" t="s">
        <v>41</v>
      </c>
      <c r="B36" s="9">
        <v>270</v>
      </c>
      <c r="C36" s="9">
        <f>'IS (Combined)'!D45</f>
        <v>3770</v>
      </c>
    </row>
    <row r="37" spans="1:3" ht="15.5">
      <c r="A37" s="2" t="s">
        <v>42</v>
      </c>
      <c r="B37" s="9">
        <v>1475.76</v>
      </c>
      <c r="C37" s="9">
        <f>'IS (Combined)'!D46</f>
        <v>3117.08</v>
      </c>
    </row>
    <row r="38" spans="1:3" ht="15.5">
      <c r="A38" s="2" t="s">
        <v>43</v>
      </c>
      <c r="B38" s="9">
        <v>21.21</v>
      </c>
      <c r="C38" s="9">
        <f>'IS (Combined)'!D47</f>
        <v>173.35</v>
      </c>
    </row>
    <row r="39" spans="1:3" ht="15.5">
      <c r="A39" s="2" t="s">
        <v>44</v>
      </c>
      <c r="B39" s="9">
        <v>4353</v>
      </c>
      <c r="C39" s="9">
        <f>'IS (Combined)'!D48</f>
        <v>2743</v>
      </c>
    </row>
    <row r="40" spans="1:3" ht="15.5">
      <c r="A40" s="3" t="s">
        <v>45</v>
      </c>
      <c r="B40" s="10">
        <v>6119.97</v>
      </c>
      <c r="C40" s="10">
        <f>'IS (Combined)'!D49</f>
        <v>9803.43</v>
      </c>
    </row>
    <row r="41" spans="1:3" ht="15.5">
      <c r="A41" s="3" t="s">
        <v>46</v>
      </c>
      <c r="B41" s="8"/>
      <c r="C41" s="8">
        <f>'IS (Combined)'!D50</f>
        <v>0</v>
      </c>
    </row>
    <row r="42" spans="1:3" ht="15.5">
      <c r="A42" s="2" t="s">
        <v>47</v>
      </c>
      <c r="B42" s="9">
        <v>756.48</v>
      </c>
      <c r="C42" s="9">
        <f>'IS (Combined)'!D51</f>
        <v>2101.94</v>
      </c>
    </row>
    <row r="43" spans="1:3" ht="15.5">
      <c r="A43" s="3" t="s">
        <v>48</v>
      </c>
      <c r="B43" s="10">
        <v>756.48</v>
      </c>
      <c r="C43" s="10">
        <f>'IS (Combined)'!D52</f>
        <v>2101.94</v>
      </c>
    </row>
    <row r="44" spans="1:3" ht="15.5">
      <c r="A44" s="3" t="s">
        <v>49</v>
      </c>
      <c r="B44" s="8"/>
      <c r="C44" s="8">
        <f>'IS (Combined)'!D53</f>
        <v>0</v>
      </c>
    </row>
    <row r="45" spans="1:3" ht="15.5">
      <c r="A45" s="3" t="s">
        <v>50</v>
      </c>
      <c r="B45" s="8"/>
      <c r="C45" s="8">
        <f>'IS (Combined)'!D54</f>
        <v>0</v>
      </c>
    </row>
    <row r="46" spans="1:3" ht="15.5">
      <c r="A46" s="2" t="s">
        <v>51</v>
      </c>
      <c r="B46" s="9">
        <v>3147.5</v>
      </c>
      <c r="C46" s="9">
        <f>'IS (Combined)'!D55</f>
        <v>15620</v>
      </c>
    </row>
    <row r="47" spans="1:3" ht="15.5">
      <c r="A47" s="3" t="s">
        <v>52</v>
      </c>
      <c r="B47" s="10">
        <v>3147.5</v>
      </c>
      <c r="C47" s="10">
        <f>'IS (Combined)'!D56</f>
        <v>15620</v>
      </c>
    </row>
    <row r="48" spans="1:3" ht="15.5">
      <c r="A48" s="2" t="s">
        <v>53</v>
      </c>
      <c r="B48" s="9">
        <v>17546.05</v>
      </c>
      <c r="C48" s="9">
        <f>'IS (Combined)'!D57</f>
        <v>1663.59</v>
      </c>
    </row>
    <row r="49" spans="1:3" ht="15.5">
      <c r="A49" s="3" t="s">
        <v>54</v>
      </c>
      <c r="B49" s="10">
        <v>20693.55</v>
      </c>
      <c r="C49" s="10">
        <f>'IS (Combined)'!D58</f>
        <v>17283.59</v>
      </c>
    </row>
    <row r="50" spans="1:3" ht="15.5">
      <c r="A50" s="3" t="s">
        <v>55</v>
      </c>
      <c r="B50" s="8"/>
      <c r="C50" s="8">
        <f>'IS (Combined)'!D59</f>
        <v>0</v>
      </c>
    </row>
    <row r="51" spans="1:3" ht="15.5">
      <c r="A51" s="2" t="s">
        <v>56</v>
      </c>
      <c r="B51" s="9">
        <v>1500</v>
      </c>
      <c r="C51" s="9">
        <f>'IS (Combined)'!D60</f>
        <v>5238.07</v>
      </c>
    </row>
    <row r="52" spans="1:3" ht="15.5">
      <c r="A52" s="2" t="s">
        <v>57</v>
      </c>
      <c r="B52" s="9">
        <v>2691.96</v>
      </c>
      <c r="C52" s="9">
        <f>'IS (Combined)'!D61</f>
        <v>13299.9</v>
      </c>
    </row>
    <row r="53" spans="1:3" ht="15.5">
      <c r="A53" s="2" t="s">
        <v>58</v>
      </c>
      <c r="B53" s="9">
        <v>8135.11</v>
      </c>
      <c r="C53" s="9">
        <f>'IS (Combined)'!D62</f>
        <v>965.32</v>
      </c>
    </row>
    <row r="54" spans="1:3" ht="15.5">
      <c r="A54" s="2" t="s">
        <v>59</v>
      </c>
      <c r="B54" s="9">
        <v>376</v>
      </c>
      <c r="C54" s="9">
        <f>'IS (Combined)'!D63</f>
        <v>12594.93</v>
      </c>
    </row>
    <row r="55" spans="1:3" ht="15.5">
      <c r="A55" s="2" t="s">
        <v>60</v>
      </c>
      <c r="B55" s="9">
        <v>24201.54</v>
      </c>
      <c r="C55" s="9">
        <f>'IS (Combined)'!D64</f>
        <v>570.09</v>
      </c>
    </row>
    <row r="56" spans="1:3" ht="15.5">
      <c r="A56" s="2" t="s">
        <v>61</v>
      </c>
      <c r="B56" s="9">
        <v>341.33</v>
      </c>
      <c r="C56" s="9">
        <f>'IS (Combined)'!D65</f>
        <v>9901.65</v>
      </c>
    </row>
    <row r="57" spans="1:3" ht="15.5">
      <c r="A57" s="3" t="s">
        <v>62</v>
      </c>
      <c r="B57" s="10">
        <v>37245.94</v>
      </c>
      <c r="C57" s="10">
        <f>'IS (Combined)'!D66</f>
        <v>42569.96</v>
      </c>
    </row>
    <row r="58" spans="1:3" ht="15.5">
      <c r="A58" s="3" t="s">
        <v>63</v>
      </c>
      <c r="B58" s="8"/>
      <c r="C58" s="8">
        <f>'IS (Combined)'!D67</f>
        <v>0</v>
      </c>
    </row>
    <row r="59" spans="1:3" ht="15.5">
      <c r="A59" s="2" t="s">
        <v>64</v>
      </c>
      <c r="B59" s="9">
        <v>4070</v>
      </c>
      <c r="C59" s="9">
        <f>'IS (Combined)'!D68</f>
        <v>33763.160000000003</v>
      </c>
    </row>
    <row r="60" spans="1:3" ht="15.5">
      <c r="A60" s="2" t="s">
        <v>65</v>
      </c>
      <c r="B60" s="9">
        <v>16128.26</v>
      </c>
      <c r="C60" s="9">
        <f>'IS (Combined)'!D69</f>
        <v>19854.650000000001</v>
      </c>
    </row>
    <row r="61" spans="1:3" ht="15.5">
      <c r="A61" s="2" t="s">
        <v>66</v>
      </c>
      <c r="B61" s="9">
        <v>9007.33</v>
      </c>
      <c r="C61" s="9">
        <f>'IS (Combined)'!D70</f>
        <v>1656</v>
      </c>
    </row>
    <row r="62" spans="1:3" ht="15.5">
      <c r="A62" s="3" t="s">
        <v>67</v>
      </c>
      <c r="B62" s="10">
        <v>29205.59</v>
      </c>
      <c r="C62" s="10">
        <f>'IS (Combined)'!D71</f>
        <v>55273.810000000005</v>
      </c>
    </row>
    <row r="63" spans="1:3" ht="15.5">
      <c r="A63" s="3" t="s">
        <v>68</v>
      </c>
      <c r="B63" s="8"/>
      <c r="C63" s="8">
        <f>'IS (Combined)'!D72</f>
        <v>0</v>
      </c>
    </row>
    <row r="64" spans="1:3" ht="15.5">
      <c r="A64" s="2" t="s">
        <v>69</v>
      </c>
      <c r="B64" s="9">
        <v>792</v>
      </c>
      <c r="C64" s="9">
        <f>'IS (Combined)'!D73</f>
        <v>604.71</v>
      </c>
    </row>
    <row r="65" spans="1:3" ht="15.5">
      <c r="A65" s="2" t="s">
        <v>70</v>
      </c>
      <c r="B65" s="9">
        <v>244.71</v>
      </c>
      <c r="C65" s="9">
        <f>'IS (Combined)'!D74</f>
        <v>4268.8900000000003</v>
      </c>
    </row>
    <row r="66" spans="1:3" ht="15.5">
      <c r="A66" s="2" t="s">
        <v>71</v>
      </c>
      <c r="B66" s="9">
        <v>750</v>
      </c>
      <c r="C66" s="9">
        <f>'IS (Combined)'!D75</f>
        <v>750</v>
      </c>
    </row>
    <row r="67" spans="1:3" ht="15.5">
      <c r="A67" s="2" t="s">
        <v>72</v>
      </c>
      <c r="B67" s="9">
        <v>2438.59</v>
      </c>
      <c r="C67" s="9">
        <f>'IS (Combined)'!D76</f>
        <v>40012.36</v>
      </c>
    </row>
    <row r="68" spans="1:3" ht="15.5">
      <c r="A68" s="3" t="s">
        <v>73</v>
      </c>
      <c r="B68" s="10">
        <v>4225.3</v>
      </c>
      <c r="C68" s="10">
        <f>'IS (Combined)'!D77</f>
        <v>45635.96</v>
      </c>
    </row>
    <row r="69" spans="1:3" ht="15.5">
      <c r="A69" s="2" t="s">
        <v>74</v>
      </c>
      <c r="B69" s="9">
        <v>2617.5</v>
      </c>
      <c r="C69" s="9">
        <f>'IS (Combined)'!D78</f>
        <v>6526.11</v>
      </c>
    </row>
    <row r="70" spans="1:3" ht="15.5">
      <c r="A70" s="2" t="s">
        <v>191</v>
      </c>
      <c r="B70" s="9"/>
      <c r="C70" s="9">
        <f>'IS (Combined)'!D79</f>
        <v>62775.220000000008</v>
      </c>
    </row>
    <row r="71" spans="1:3" ht="15.5">
      <c r="A71" s="2" t="s">
        <v>192</v>
      </c>
      <c r="B71" s="9"/>
      <c r="C71" s="9">
        <f>'IS (Combined)'!D80</f>
        <v>114345.58</v>
      </c>
    </row>
    <row r="72" spans="1:3" ht="15.5">
      <c r="A72" s="3" t="s">
        <v>75</v>
      </c>
      <c r="B72" s="10">
        <v>106228.88</v>
      </c>
      <c r="C72" s="10">
        <f>'IS (Combined)'!D81</f>
        <v>366889.70999999996</v>
      </c>
    </row>
    <row r="73" spans="1:3" ht="15.5">
      <c r="A73" s="2"/>
      <c r="B73" s="9"/>
      <c r="C73" s="9"/>
    </row>
    <row r="74" spans="1:3" ht="15.5">
      <c r="A74" s="3" t="s">
        <v>76</v>
      </c>
      <c r="B74" s="8">
        <v>276011.37</v>
      </c>
      <c r="C74" s="8">
        <f>'IS (Combined)'!D83</f>
        <v>551209.67000000016</v>
      </c>
    </row>
    <row r="75" spans="1:3" ht="15.5">
      <c r="A75" s="2"/>
      <c r="B75" s="9"/>
      <c r="C75" s="9"/>
    </row>
    <row r="76" spans="1:3" ht="15.5">
      <c r="A76" s="3" t="s">
        <v>77</v>
      </c>
      <c r="B76" s="8"/>
      <c r="C76" s="8"/>
    </row>
    <row r="77" spans="1:3" ht="15.5">
      <c r="A77" s="3" t="s">
        <v>78</v>
      </c>
      <c r="B77" s="8"/>
      <c r="C77" s="8"/>
    </row>
    <row r="78" spans="1:3" ht="15.5">
      <c r="A78" s="3" t="s">
        <v>79</v>
      </c>
      <c r="B78" s="8"/>
      <c r="C78" s="8"/>
    </row>
    <row r="79" spans="1:3" ht="15.5">
      <c r="A79" s="2" t="s">
        <v>80</v>
      </c>
      <c r="B79" s="9">
        <v>1395</v>
      </c>
      <c r="C79" s="9" t="e">
        <f>'IS (Combined)'!#REF!</f>
        <v>#REF!</v>
      </c>
    </row>
    <row r="80" spans="1:3" ht="15.5">
      <c r="A80" s="2" t="s">
        <v>81</v>
      </c>
      <c r="B80" s="9">
        <v>40859.39</v>
      </c>
      <c r="C80" s="9" t="e">
        <f>'IS (Combined)'!#REF!</f>
        <v>#REF!</v>
      </c>
    </row>
    <row r="81" spans="1:3" ht="15.5">
      <c r="A81" s="2" t="s">
        <v>82</v>
      </c>
      <c r="B81" s="9">
        <v>17886.5</v>
      </c>
      <c r="C81" s="9" t="e">
        <f>'IS (Combined)'!#REF!</f>
        <v>#REF!</v>
      </c>
    </row>
    <row r="82" spans="1:3" ht="15.5">
      <c r="A82" s="2" t="s">
        <v>83</v>
      </c>
      <c r="B82" s="9">
        <v>26529.17</v>
      </c>
      <c r="C82" s="9" t="e">
        <f>'IS (Combined)'!#REF!</f>
        <v>#REF!</v>
      </c>
    </row>
    <row r="83" spans="1:3" ht="15.5">
      <c r="A83" s="2" t="s">
        <v>190</v>
      </c>
      <c r="B83" s="9">
        <v>750</v>
      </c>
      <c r="C83" s="9" t="e">
        <f>'IS (Combined)'!#REF!</f>
        <v>#REF!</v>
      </c>
    </row>
    <row r="84" spans="1:3" ht="15.5">
      <c r="A84" s="2" t="s">
        <v>153</v>
      </c>
      <c r="B84" s="9"/>
      <c r="C84" s="9" t="e">
        <f>'IS (Combined)'!#REF!</f>
        <v>#REF!</v>
      </c>
    </row>
    <row r="85" spans="1:3" ht="15.5">
      <c r="A85" s="2" t="s">
        <v>154</v>
      </c>
      <c r="B85" s="9"/>
      <c r="C85" s="9" t="e">
        <f>'IS (Combined)'!#REF!</f>
        <v>#REF!</v>
      </c>
    </row>
    <row r="86" spans="1:3" ht="15.5">
      <c r="A86" s="2" t="s">
        <v>155</v>
      </c>
      <c r="B86" s="9"/>
      <c r="C86" s="9" t="e">
        <f>'IS (Combined)'!#REF!</f>
        <v>#REF!</v>
      </c>
    </row>
    <row r="87" spans="1:3" ht="15.5">
      <c r="A87" s="2" t="s">
        <v>156</v>
      </c>
      <c r="B87" s="9"/>
      <c r="C87" s="9" t="e">
        <f>'IS (Combined)'!#REF!</f>
        <v>#REF!</v>
      </c>
    </row>
    <row r="88" spans="1:3" ht="15.5">
      <c r="A88" s="2" t="s">
        <v>157</v>
      </c>
      <c r="B88" s="9"/>
      <c r="C88" s="9" t="e">
        <f>'IS (Combined)'!#REF!</f>
        <v>#REF!</v>
      </c>
    </row>
    <row r="89" spans="1:3" ht="15.5">
      <c r="A89" s="2" t="s">
        <v>158</v>
      </c>
      <c r="B89" s="9"/>
      <c r="C89" s="9" t="e">
        <f>'IS (Combined)'!#REF!</f>
        <v>#REF!</v>
      </c>
    </row>
    <row r="90" spans="1:3" ht="15.5">
      <c r="A90" s="2" t="s">
        <v>160</v>
      </c>
      <c r="B90" s="9"/>
      <c r="C90" s="9" t="e">
        <f>'IS (Combined)'!#REF!</f>
        <v>#REF!</v>
      </c>
    </row>
    <row r="91" spans="1:3" ht="15.5">
      <c r="A91" s="2" t="s">
        <v>164</v>
      </c>
      <c r="B91" s="9"/>
      <c r="C91" s="9" t="e">
        <f>'IS (Combined)'!#REF!</f>
        <v>#REF!</v>
      </c>
    </row>
    <row r="92" spans="1:3" ht="15.5">
      <c r="A92" s="2" t="s">
        <v>165</v>
      </c>
      <c r="B92" s="9"/>
      <c r="C92" s="9" t="e">
        <f>'IS (Combined)'!#REF!</f>
        <v>#REF!</v>
      </c>
    </row>
    <row r="93" spans="1:3" ht="15.5">
      <c r="A93" s="2"/>
      <c r="B93" s="9"/>
      <c r="C93" s="9" t="e">
        <f>'IS (Combined)'!#REF!</f>
        <v>#REF!</v>
      </c>
    </row>
    <row r="94" spans="1:3" ht="15.5">
      <c r="A94" s="2" t="s">
        <v>166</v>
      </c>
      <c r="B94" s="9"/>
      <c r="C94" s="9" t="e">
        <f>'IS (Combined)'!#REF!</f>
        <v>#REF!</v>
      </c>
    </row>
    <row r="95" spans="1:3" ht="15.5">
      <c r="A95" s="2" t="s">
        <v>167</v>
      </c>
      <c r="B95" s="9"/>
      <c r="C95" s="9" t="e">
        <f>'IS (Combined)'!#REF!</f>
        <v>#REF!</v>
      </c>
    </row>
    <row r="96" spans="1:3" ht="15.5">
      <c r="A96" s="2"/>
      <c r="B96" s="9"/>
      <c r="C96" s="9" t="e">
        <f>'IS (Combined)'!#REF!</f>
        <v>#REF!</v>
      </c>
    </row>
    <row r="97" spans="1:3" ht="15.5">
      <c r="A97" s="3" t="s">
        <v>84</v>
      </c>
      <c r="B97" s="10">
        <v>87420.06</v>
      </c>
      <c r="C97" s="10" t="e">
        <f>SUM(C79:C96)</f>
        <v>#REF!</v>
      </c>
    </row>
    <row r="98" spans="1:3" ht="15.5">
      <c r="A98" s="3" t="s">
        <v>85</v>
      </c>
      <c r="B98" s="10">
        <v>87420.06</v>
      </c>
      <c r="C98" s="10" t="e">
        <f>C97</f>
        <v>#REF!</v>
      </c>
    </row>
    <row r="99" spans="1:3" ht="15.5">
      <c r="A99" s="2"/>
      <c r="B99" s="9"/>
      <c r="C99" s="9"/>
    </row>
    <row r="100" spans="1:3" ht="15.5">
      <c r="A100" s="3" t="s">
        <v>86</v>
      </c>
      <c r="B100" s="10">
        <v>-87420.06</v>
      </c>
      <c r="C100" s="10" t="e">
        <f>-C98</f>
        <v>#REF!</v>
      </c>
    </row>
    <row r="101" spans="1:3" ht="15.5">
      <c r="A101" s="2"/>
      <c r="B101" s="9"/>
      <c r="C101" s="9" t="e">
        <f>'IS (Combined)'!#REF!</f>
        <v>#REF!</v>
      </c>
    </row>
    <row r="102" spans="1:3" ht="15.5">
      <c r="A102" s="2" t="s">
        <v>87</v>
      </c>
      <c r="B102" s="9">
        <v>382240.25</v>
      </c>
      <c r="C102" s="9" t="e">
        <f>'IS (Combined)'!#REF!</f>
        <v>#REF!</v>
      </c>
    </row>
    <row r="103" spans="1:3" ht="15.5">
      <c r="A103" s="2" t="s">
        <v>88</v>
      </c>
      <c r="B103" s="9">
        <v>193648.94</v>
      </c>
      <c r="C103" s="9" t="e">
        <f>C98+C72</f>
        <v>#REF!</v>
      </c>
    </row>
    <row r="104" spans="1:3" ht="15.5">
      <c r="A104" s="2"/>
      <c r="B104" s="9"/>
      <c r="C104" s="9"/>
    </row>
    <row r="105" spans="1:3" ht="15.5">
      <c r="A105" s="3" t="s">
        <v>89</v>
      </c>
      <c r="B105" s="10">
        <v>188591.31</v>
      </c>
      <c r="C105" s="10" t="e">
        <f>C102-C103</f>
        <v>#REF!</v>
      </c>
    </row>
    <row r="106" spans="1:3" ht="15.5">
      <c r="A106" s="2"/>
      <c r="B106" s="9"/>
      <c r="C106" s="9"/>
    </row>
    <row r="107" spans="1:3" ht="15.5">
      <c r="A107" s="3" t="s">
        <v>198</v>
      </c>
      <c r="B107" s="8"/>
      <c r="C107" s="8"/>
    </row>
    <row r="108" spans="1:3" ht="15.5">
      <c r="A108" s="2" t="s">
        <v>199</v>
      </c>
      <c r="B108" s="9">
        <v>-44358.03</v>
      </c>
      <c r="C108" s="9">
        <f>-'TB Combined'!H7</f>
        <v>-49276.859999999986</v>
      </c>
    </row>
    <row r="109" spans="1:3" ht="15.5">
      <c r="A109" s="2" t="s">
        <v>107</v>
      </c>
      <c r="B109" s="9">
        <v>85275.01</v>
      </c>
      <c r="C109" s="9">
        <f>-'TB Combined'!H8</f>
        <v>92730</v>
      </c>
    </row>
    <row r="110" spans="1:3" ht="15.5">
      <c r="A110" s="2" t="s">
        <v>183</v>
      </c>
      <c r="B110" s="9">
        <v>11913.82</v>
      </c>
      <c r="C110" s="9">
        <f>-'TB Combined'!H9</f>
        <v>18170.39</v>
      </c>
    </row>
    <row r="111" spans="1:3" ht="15.5">
      <c r="A111" s="20" t="s">
        <v>128</v>
      </c>
      <c r="B111" s="9"/>
      <c r="C111" s="9">
        <f>-'TB Combined'!H10</f>
        <v>-60248.17000000002</v>
      </c>
    </row>
    <row r="112" spans="1:3" ht="15.5">
      <c r="A112" s="20" t="s">
        <v>129</v>
      </c>
      <c r="B112" s="9"/>
      <c r="C112" s="9">
        <f>-'TB Combined'!H11</f>
        <v>0</v>
      </c>
    </row>
    <row r="113" spans="1:3" ht="15.5">
      <c r="A113" s="20" t="s">
        <v>130</v>
      </c>
      <c r="B113" s="9"/>
      <c r="C113" s="9">
        <f>-'TB Combined'!H12</f>
        <v>0</v>
      </c>
    </row>
    <row r="114" spans="1:3" ht="15.5">
      <c r="A114" s="20" t="s">
        <v>131</v>
      </c>
      <c r="B114" s="9"/>
      <c r="C114" s="9">
        <f>-'TB Combined'!H13</f>
        <v>-17627868.43</v>
      </c>
    </row>
    <row r="115" spans="1:3" ht="15.5">
      <c r="A115" s="20" t="s">
        <v>132</v>
      </c>
      <c r="B115" s="9"/>
      <c r="C115" s="9">
        <f>-'TB Combined'!H14</f>
        <v>-168204.20000000004</v>
      </c>
    </row>
    <row r="116" spans="1:3" ht="15.5">
      <c r="A116" s="20" t="s">
        <v>133</v>
      </c>
      <c r="B116" s="9"/>
      <c r="C116" s="9">
        <f>-'TB Combined'!H15</f>
        <v>-99209.460000000021</v>
      </c>
    </row>
    <row r="117" spans="1:3" ht="15.5">
      <c r="A117" s="20" t="s">
        <v>173</v>
      </c>
      <c r="B117" s="9"/>
      <c r="C117" s="9">
        <f>-'TB Combined'!H16</f>
        <v>-215081.24</v>
      </c>
    </row>
    <row r="118" spans="1:3" ht="15.5">
      <c r="A118" s="20" t="s">
        <v>134</v>
      </c>
      <c r="B118" s="9"/>
      <c r="C118" s="9">
        <f>-'TB Combined'!H17</f>
        <v>0</v>
      </c>
    </row>
    <row r="119" spans="1:3" ht="15.5">
      <c r="A119" s="2" t="s">
        <v>200</v>
      </c>
      <c r="B119" s="9">
        <v>27391.95</v>
      </c>
      <c r="C119" s="9">
        <f>-'TB Combined'!H18-'TB Combined'!H20-'TB Combined'!H19-'TB Combined'!H21</f>
        <v>234690.77960000001</v>
      </c>
    </row>
    <row r="120" spans="1:3" ht="15.5">
      <c r="A120" s="2" t="s">
        <v>202</v>
      </c>
      <c r="B120" s="9"/>
      <c r="C120" s="9">
        <f>-'TB Combined'!H22</f>
        <v>12180000</v>
      </c>
    </row>
    <row r="121" spans="1:3" ht="15.5">
      <c r="A121" s="3" t="s">
        <v>201</v>
      </c>
      <c r="B121" s="10">
        <v>80222.75</v>
      </c>
      <c r="C121" s="10">
        <f>SUM(C108:C120)</f>
        <v>-5694297.1903999969</v>
      </c>
    </row>
    <row r="122" spans="1:3" ht="15.5">
      <c r="A122" s="2"/>
      <c r="B122" s="9"/>
      <c r="C122" s="9"/>
    </row>
    <row r="123" spans="1:3" ht="15.5">
      <c r="A123" s="3" t="s">
        <v>181</v>
      </c>
      <c r="B123" s="8"/>
      <c r="C123" s="8"/>
    </row>
    <row r="124" spans="1:3" ht="15.5">
      <c r="A124" s="2" t="s">
        <v>182</v>
      </c>
      <c r="B124" s="9">
        <v>85275.01</v>
      </c>
      <c r="C124" s="9"/>
    </row>
    <row r="125" spans="1:3" ht="15.5">
      <c r="A125" s="2" t="s">
        <v>184</v>
      </c>
      <c r="B125" s="9">
        <v>52942.95</v>
      </c>
      <c r="C125" s="9">
        <f>-'TB Combined'!H23</f>
        <v>7290000</v>
      </c>
    </row>
    <row r="126" spans="1:3" ht="15.5">
      <c r="A126" s="2" t="s">
        <v>185</v>
      </c>
      <c r="B126" s="9">
        <v>-232527</v>
      </c>
      <c r="C126" s="9">
        <f>-'TB Combined'!H24</f>
        <v>0</v>
      </c>
    </row>
    <row r="127" spans="1:3" ht="15.5">
      <c r="A127" s="3" t="s">
        <v>186</v>
      </c>
      <c r="B127" s="10">
        <v>-94309.04</v>
      </c>
      <c r="C127" s="10">
        <f>SUM(C124:C126)</f>
        <v>7290000</v>
      </c>
    </row>
    <row r="128" spans="1:3" ht="15.5">
      <c r="A128" s="2"/>
      <c r="B128" s="9"/>
      <c r="C128" s="9"/>
    </row>
    <row r="129" spans="1:3" ht="15.5">
      <c r="A129" s="3" t="s">
        <v>178</v>
      </c>
      <c r="B129" s="10">
        <v>174505.02</v>
      </c>
      <c r="C129" s="10" t="e">
        <f>C127+C121+C105</f>
        <v>#REF!</v>
      </c>
    </row>
    <row r="130" spans="1:3" ht="15.5">
      <c r="A130" s="2"/>
      <c r="B130" s="9"/>
      <c r="C130" s="9"/>
    </row>
    <row r="131" spans="1:3" ht="15.5">
      <c r="A131" s="3" t="s">
        <v>187</v>
      </c>
      <c r="B131" s="8">
        <v>0</v>
      </c>
      <c r="C131" s="8">
        <v>0</v>
      </c>
    </row>
    <row r="132" spans="1:3" ht="15.5">
      <c r="A132" s="3" t="s">
        <v>188</v>
      </c>
      <c r="B132" s="8">
        <v>174505.02</v>
      </c>
      <c r="C132" s="8" t="e">
        <f>C129</f>
        <v>#REF!</v>
      </c>
    </row>
    <row r="133" spans="1:3" ht="15.5">
      <c r="A133" s="3" t="s">
        <v>189</v>
      </c>
      <c r="B133" s="8">
        <v>89230.01</v>
      </c>
      <c r="C133" s="8">
        <f>'TB Combined'!H5+'TB Combined'!H6</f>
        <v>1178469.83</v>
      </c>
    </row>
    <row r="134" spans="1:3">
      <c r="B134" s="41">
        <f>B132-B133</f>
        <v>85275.01</v>
      </c>
      <c r="C134" s="41" t="e">
        <f>C132-C133</f>
        <v>#REF!</v>
      </c>
    </row>
  </sheetData>
  <mergeCells count="2">
    <mergeCell ref="A1:B1"/>
    <mergeCell ref="A2:B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showWhiteSpace="0" topLeftCell="A67" zoomScaleNormal="100" workbookViewId="0">
      <selection activeCell="F7" sqref="F7"/>
    </sheetView>
  </sheetViews>
  <sheetFormatPr defaultRowHeight="14"/>
  <cols>
    <col min="1" max="1" width="74.33203125" bestFit="1" customWidth="1"/>
    <col min="2" max="2" width="39" bestFit="1" customWidth="1"/>
    <col min="3" max="3" width="1.58203125" customWidth="1"/>
    <col min="4" max="4" width="14.83203125" bestFit="1" customWidth="1"/>
    <col min="5" max="5" width="1.6640625" customWidth="1"/>
    <col min="6" max="6" width="11.75" bestFit="1" customWidth="1"/>
    <col min="7" max="7" width="3" customWidth="1"/>
    <col min="8" max="8" width="12.9140625" bestFit="1" customWidth="1"/>
  </cols>
  <sheetData>
    <row r="1" spans="1:8" ht="23">
      <c r="A1" s="472" t="s">
        <v>122</v>
      </c>
      <c r="B1" s="472"/>
    </row>
    <row r="2" spans="1:8" ht="23">
      <c r="A2" s="7" t="s">
        <v>471</v>
      </c>
      <c r="B2" s="7"/>
    </row>
    <row r="3" spans="1:8">
      <c r="A3" s="469"/>
      <c r="B3" s="469"/>
    </row>
    <row r="4" spans="1:8" ht="16.5">
      <c r="A4" s="1" t="s">
        <v>6</v>
      </c>
      <c r="B4" s="1" t="s">
        <v>8</v>
      </c>
      <c r="D4" s="40" t="s">
        <v>123</v>
      </c>
      <c r="F4" t="s">
        <v>177</v>
      </c>
      <c r="H4" s="40" t="s">
        <v>172</v>
      </c>
    </row>
    <row r="5" spans="1:8" ht="15.5">
      <c r="A5" s="2" t="s">
        <v>96</v>
      </c>
      <c r="B5" s="9">
        <v>17506.830000000002</v>
      </c>
      <c r="D5" s="9">
        <f>'Balance Sheet &amp; IS'!B7</f>
        <v>1072818</v>
      </c>
      <c r="E5" s="9"/>
      <c r="F5" s="9"/>
      <c r="H5" s="13">
        <f>SUM(B5:G5)</f>
        <v>1090324.83</v>
      </c>
    </row>
    <row r="6" spans="1:8" ht="15.5">
      <c r="A6" s="2" t="s">
        <v>98</v>
      </c>
      <c r="B6" s="9">
        <v>88145</v>
      </c>
      <c r="D6" s="9"/>
      <c r="E6" s="9"/>
      <c r="F6" s="9"/>
      <c r="H6" s="13">
        <f t="shared" ref="H6:H70" si="0">SUM(B6:G6)</f>
        <v>88145</v>
      </c>
    </row>
    <row r="7" spans="1:8" ht="15.5">
      <c r="A7" s="2" t="s">
        <v>101</v>
      </c>
      <c r="B7" s="9">
        <v>103505.18</v>
      </c>
      <c r="D7" s="39">
        <f>'Balance Sheet &amp; IS'!B8</f>
        <v>101712.78999999998</v>
      </c>
      <c r="E7" s="9"/>
      <c r="F7" s="9">
        <f>-D7-F45</f>
        <v>-155941.10999999999</v>
      </c>
      <c r="H7" s="13">
        <f t="shared" si="0"/>
        <v>49276.859999999986</v>
      </c>
    </row>
    <row r="8" spans="1:8" ht="15.5">
      <c r="A8" s="2" t="s">
        <v>107</v>
      </c>
      <c r="B8" s="9">
        <v>-92730</v>
      </c>
      <c r="D8" s="9"/>
      <c r="E8" s="9"/>
      <c r="F8" s="9"/>
      <c r="H8" s="13">
        <f t="shared" si="0"/>
        <v>-92730</v>
      </c>
    </row>
    <row r="9" spans="1:8" ht="15.5">
      <c r="A9" s="2" t="s">
        <v>110</v>
      </c>
      <c r="B9" s="9">
        <v>-18170.39</v>
      </c>
      <c r="D9" s="9"/>
      <c r="E9" s="9"/>
      <c r="F9" s="9"/>
      <c r="H9" s="13">
        <f t="shared" si="0"/>
        <v>-18170.39</v>
      </c>
    </row>
    <row r="10" spans="1:8" ht="15.5">
      <c r="A10" s="20" t="s">
        <v>128</v>
      </c>
      <c r="B10" s="9"/>
      <c r="D10" s="9">
        <f>'Balance Sheet &amp; IS'!B9</f>
        <v>60248.17000000002</v>
      </c>
      <c r="E10" s="9"/>
      <c r="F10" s="9"/>
      <c r="H10" s="13">
        <f t="shared" si="0"/>
        <v>60248.17000000002</v>
      </c>
    </row>
    <row r="11" spans="1:8" ht="15.5">
      <c r="A11" s="20" t="s">
        <v>129</v>
      </c>
      <c r="B11" s="9"/>
      <c r="D11" s="9">
        <f>'Balance Sheet &amp; IS'!B10</f>
        <v>0</v>
      </c>
      <c r="E11" s="9"/>
      <c r="F11" s="9"/>
      <c r="H11" s="13">
        <f t="shared" si="0"/>
        <v>0</v>
      </c>
    </row>
    <row r="12" spans="1:8" ht="15.5">
      <c r="A12" s="20" t="s">
        <v>130</v>
      </c>
      <c r="B12" s="9"/>
      <c r="D12" s="9">
        <f>'Balance Sheet &amp; IS'!B11</f>
        <v>0</v>
      </c>
      <c r="E12" s="9"/>
      <c r="F12" s="9"/>
      <c r="H12" s="13">
        <f t="shared" si="0"/>
        <v>0</v>
      </c>
    </row>
    <row r="13" spans="1:8" ht="15.5">
      <c r="A13" s="20" t="s">
        <v>131</v>
      </c>
      <c r="B13" s="9"/>
      <c r="D13" s="9">
        <f>'Balance Sheet &amp; IS'!B12</f>
        <v>17423169.359999999</v>
      </c>
      <c r="E13" s="9"/>
      <c r="F13" s="9">
        <f>5000-SUM(F73:F77)</f>
        <v>204699.07</v>
      </c>
      <c r="H13" s="13">
        <f t="shared" si="0"/>
        <v>17627868.43</v>
      </c>
    </row>
    <row r="14" spans="1:8" ht="15.5">
      <c r="A14" s="20" t="s">
        <v>132</v>
      </c>
      <c r="B14" s="9"/>
      <c r="D14" s="9">
        <f>'Balance Sheet &amp; IS'!B13</f>
        <v>168204.20000000004</v>
      </c>
      <c r="E14" s="9"/>
      <c r="F14" s="9"/>
      <c r="H14" s="13">
        <f t="shared" si="0"/>
        <v>168204.20000000004</v>
      </c>
    </row>
    <row r="15" spans="1:8" ht="15.5">
      <c r="A15" s="20" t="s">
        <v>133</v>
      </c>
      <c r="B15" s="9"/>
      <c r="D15" s="9">
        <f>'Balance Sheet &amp; IS'!B14</f>
        <v>99209.460000000021</v>
      </c>
      <c r="E15" s="9"/>
      <c r="F15" s="9"/>
      <c r="H15" s="13">
        <f t="shared" si="0"/>
        <v>99209.460000000021</v>
      </c>
    </row>
    <row r="16" spans="1:8" ht="15.5">
      <c r="A16" s="20" t="s">
        <v>173</v>
      </c>
      <c r="B16" s="9"/>
      <c r="D16" s="9">
        <f>'Balance Sheet &amp; IS'!B15</f>
        <v>215081.24</v>
      </c>
      <c r="E16" s="9"/>
      <c r="F16" s="9"/>
      <c r="H16" s="13">
        <f t="shared" si="0"/>
        <v>215081.24</v>
      </c>
    </row>
    <row r="17" spans="1:8" ht="15.5">
      <c r="A17" s="20" t="s">
        <v>134</v>
      </c>
      <c r="B17" s="9"/>
      <c r="D17" s="9">
        <f>'Balance Sheet &amp; IS'!B16</f>
        <v>0</v>
      </c>
      <c r="E17" s="9"/>
      <c r="F17" s="9"/>
      <c r="H17" s="13">
        <f t="shared" si="0"/>
        <v>0</v>
      </c>
    </row>
    <row r="18" spans="1:8" ht="15.5">
      <c r="A18" s="2" t="s">
        <v>112</v>
      </c>
      <c r="B18" s="426">
        <v>-12124.33</v>
      </c>
      <c r="D18" s="9"/>
      <c r="E18" s="9"/>
      <c r="F18" s="9"/>
      <c r="H18" s="13">
        <f t="shared" si="0"/>
        <v>-12124.33</v>
      </c>
    </row>
    <row r="19" spans="1:8" ht="15.5">
      <c r="A19" s="2" t="s">
        <v>171</v>
      </c>
      <c r="B19" s="9"/>
      <c r="D19" s="9">
        <f>-'Balance Sheet &amp; IS'!B21</f>
        <v>-8655.159599999999</v>
      </c>
      <c r="E19" s="9"/>
      <c r="F19" s="9"/>
      <c r="H19" s="13">
        <f t="shared" si="0"/>
        <v>-8655.159599999999</v>
      </c>
    </row>
    <row r="20" spans="1:8" ht="15.5">
      <c r="A20" s="2" t="s">
        <v>175</v>
      </c>
      <c r="B20" s="9"/>
      <c r="D20" s="9">
        <f>-'Balance Sheet &amp; IS'!B22</f>
        <v>-177461.29000000004</v>
      </c>
      <c r="E20" s="9"/>
      <c r="F20" s="9"/>
      <c r="H20" s="13">
        <f t="shared" si="0"/>
        <v>-177461.29000000004</v>
      </c>
    </row>
    <row r="21" spans="1:8" ht="15.5">
      <c r="A21" s="20" t="s">
        <v>381</v>
      </c>
      <c r="B21" s="9"/>
      <c r="D21" s="9">
        <f>-'Balance Sheet &amp; IS'!B23</f>
        <v>-36450</v>
      </c>
      <c r="E21" s="9"/>
      <c r="F21" s="9"/>
      <c r="H21" s="13">
        <f t="shared" si="0"/>
        <v>-36450</v>
      </c>
    </row>
    <row r="22" spans="1:8" ht="15.5">
      <c r="A22" s="2" t="s">
        <v>176</v>
      </c>
      <c r="B22" s="9"/>
      <c r="D22" s="9">
        <f>-'Balance Sheet &amp; IS'!B24</f>
        <v>-12180000</v>
      </c>
      <c r="E22" s="9"/>
      <c r="F22" s="9"/>
      <c r="H22" s="13">
        <f t="shared" si="0"/>
        <v>-12180000</v>
      </c>
    </row>
    <row r="23" spans="1:8" ht="15.5">
      <c r="A23" s="2" t="s">
        <v>116</v>
      </c>
      <c r="B23" s="9">
        <v>-101712.79</v>
      </c>
      <c r="D23" s="9">
        <f>-'Balance Sheet &amp; IS'!B28</f>
        <v>-7290000</v>
      </c>
      <c r="E23" s="9"/>
      <c r="F23" s="9">
        <f>-B23</f>
        <v>101712.79</v>
      </c>
      <c r="H23" s="13">
        <f t="shared" si="0"/>
        <v>-7290000</v>
      </c>
    </row>
    <row r="24" spans="1:8" ht="15.5">
      <c r="A24" s="2" t="s">
        <v>118</v>
      </c>
      <c r="B24" s="426">
        <v>493060.47</v>
      </c>
      <c r="D24" s="9">
        <f>-'Balance Sheet &amp; IS'!B47</f>
        <v>-485533.47</v>
      </c>
      <c r="E24" s="9"/>
      <c r="F24" s="9">
        <f>-F78-2527-5000</f>
        <v>-7527</v>
      </c>
      <c r="H24" s="13">
        <f t="shared" si="0"/>
        <v>0</v>
      </c>
    </row>
    <row r="25" spans="1:8" ht="15.5">
      <c r="A25" s="2" t="s">
        <v>12</v>
      </c>
      <c r="B25" s="9">
        <v>-794634.06</v>
      </c>
      <c r="D25" s="9">
        <f>-'Balance Sheet &amp; IS'!B46</f>
        <v>-101104.75</v>
      </c>
      <c r="E25" s="9"/>
      <c r="F25" s="9"/>
      <c r="H25" s="13">
        <f t="shared" si="0"/>
        <v>-895738.81</v>
      </c>
    </row>
    <row r="26" spans="1:8" ht="15.5">
      <c r="A26" s="2" t="s">
        <v>13</v>
      </c>
      <c r="B26" s="9">
        <v>-3933</v>
      </c>
      <c r="H26" s="13">
        <f t="shared" si="0"/>
        <v>-3933</v>
      </c>
    </row>
    <row r="27" spans="1:8" ht="15.5">
      <c r="A27" s="2" t="s">
        <v>14</v>
      </c>
      <c r="B27" s="9">
        <v>15129.85</v>
      </c>
      <c r="H27" s="13">
        <f t="shared" si="0"/>
        <v>15129.85</v>
      </c>
    </row>
    <row r="28" spans="1:8" ht="15.5">
      <c r="A28" s="2" t="s">
        <v>17</v>
      </c>
      <c r="B28" s="9">
        <v>-1331.24</v>
      </c>
      <c r="H28" s="13">
        <f t="shared" si="0"/>
        <v>-1331.24</v>
      </c>
    </row>
    <row r="29" spans="1:8" ht="15.5">
      <c r="A29" s="2" t="s">
        <v>18</v>
      </c>
      <c r="B29" s="9">
        <v>-2780.92</v>
      </c>
      <c r="H29" s="13">
        <f t="shared" si="0"/>
        <v>-2780.92</v>
      </c>
    </row>
    <row r="30" spans="1:8" ht="15.5">
      <c r="A30" s="2" t="s">
        <v>19</v>
      </c>
      <c r="B30" s="9">
        <v>-193.72</v>
      </c>
      <c r="H30" s="13">
        <f t="shared" si="0"/>
        <v>-193.72</v>
      </c>
    </row>
    <row r="31" spans="1:8" ht="15.5">
      <c r="A31" s="2" t="s">
        <v>472</v>
      </c>
      <c r="B31" s="9">
        <v>-236.25</v>
      </c>
      <c r="H31" s="13">
        <f t="shared" si="0"/>
        <v>-236.25</v>
      </c>
    </row>
    <row r="32" spans="1:8" ht="15.5">
      <c r="A32" s="2" t="s">
        <v>20</v>
      </c>
      <c r="B32" s="9">
        <v>-1350</v>
      </c>
      <c r="H32" s="13">
        <f t="shared" si="0"/>
        <v>-1350</v>
      </c>
    </row>
    <row r="33" spans="1:8" ht="15.5">
      <c r="A33" s="2" t="s">
        <v>473</v>
      </c>
      <c r="B33" s="426">
        <v>-300.32</v>
      </c>
      <c r="H33" s="13">
        <f t="shared" si="0"/>
        <v>-300.32</v>
      </c>
    </row>
    <row r="34" spans="1:8" ht="15.5">
      <c r="A34" s="2" t="s">
        <v>21</v>
      </c>
      <c r="B34" s="9">
        <v>-5263.24</v>
      </c>
      <c r="H34" s="13">
        <f t="shared" si="0"/>
        <v>-5263.24</v>
      </c>
    </row>
    <row r="35" spans="1:8" ht="15.5">
      <c r="A35" s="2" t="s">
        <v>22</v>
      </c>
      <c r="B35" s="9">
        <v>-81</v>
      </c>
      <c r="H35" s="13">
        <f t="shared" si="0"/>
        <v>-81</v>
      </c>
    </row>
    <row r="36" spans="1:8" ht="15.5">
      <c r="A36" s="2" t="s">
        <v>23</v>
      </c>
      <c r="B36" s="9">
        <v>-5300</v>
      </c>
      <c r="H36" s="13">
        <f t="shared" si="0"/>
        <v>-5300</v>
      </c>
    </row>
    <row r="37" spans="1:8" ht="15.5">
      <c r="A37" s="2" t="s">
        <v>24</v>
      </c>
      <c r="B37" s="9">
        <v>-17996.8</v>
      </c>
      <c r="H37" s="13">
        <f t="shared" si="0"/>
        <v>-17996.8</v>
      </c>
    </row>
    <row r="38" spans="1:8" ht="15.5">
      <c r="A38" s="2" t="s">
        <v>25</v>
      </c>
      <c r="B38" s="9">
        <v>-9473.42</v>
      </c>
      <c r="H38" s="13">
        <f t="shared" si="0"/>
        <v>-9473.42</v>
      </c>
    </row>
    <row r="39" spans="1:8" ht="15.5">
      <c r="A39" s="2" t="s">
        <v>26</v>
      </c>
      <c r="B39" s="9">
        <v>-24467.27</v>
      </c>
      <c r="H39" s="13">
        <f t="shared" si="0"/>
        <v>-24467.27</v>
      </c>
    </row>
    <row r="40" spans="1:8" ht="15.5">
      <c r="A40" s="2" t="s">
        <v>27</v>
      </c>
      <c r="B40" s="9">
        <v>221</v>
      </c>
      <c r="H40" s="13">
        <f t="shared" si="0"/>
        <v>221</v>
      </c>
    </row>
    <row r="41" spans="1:8" ht="15.5">
      <c r="A41" s="2" t="s">
        <v>29</v>
      </c>
      <c r="B41" s="9">
        <v>-16760</v>
      </c>
      <c r="H41" s="13">
        <f t="shared" si="0"/>
        <v>-16760</v>
      </c>
    </row>
    <row r="42" spans="1:8" ht="15.5">
      <c r="A42" s="2" t="s">
        <v>30</v>
      </c>
      <c r="B42" s="9">
        <v>-849.56</v>
      </c>
      <c r="H42" s="13">
        <f t="shared" si="0"/>
        <v>-849.56</v>
      </c>
    </row>
    <row r="43" spans="1:8" ht="15.5">
      <c r="A43" s="2" t="s">
        <v>31</v>
      </c>
      <c r="B43" s="9">
        <v>-519.75</v>
      </c>
      <c r="H43" s="13">
        <f t="shared" si="0"/>
        <v>-519.75</v>
      </c>
    </row>
    <row r="44" spans="1:8" ht="15.5">
      <c r="A44" s="2" t="s">
        <v>32</v>
      </c>
      <c r="B44" s="9">
        <v>-1103.25</v>
      </c>
      <c r="H44" s="13">
        <f t="shared" si="0"/>
        <v>-1103.25</v>
      </c>
    </row>
    <row r="45" spans="1:8" s="416" customFormat="1" ht="15.5">
      <c r="A45" s="414" t="s">
        <v>242</v>
      </c>
      <c r="B45" s="415"/>
      <c r="F45" s="425">
        <f>'Bad Debt'!H19</f>
        <v>54228.32</v>
      </c>
      <c r="H45" s="13">
        <f t="shared" si="0"/>
        <v>54228.32</v>
      </c>
    </row>
    <row r="46" spans="1:8" ht="15.5">
      <c r="A46" s="2" t="s">
        <v>474</v>
      </c>
      <c r="B46" s="9">
        <v>95</v>
      </c>
      <c r="H46" s="13">
        <f t="shared" si="0"/>
        <v>95</v>
      </c>
    </row>
    <row r="47" spans="1:8" ht="15.5">
      <c r="A47" s="2" t="s">
        <v>36</v>
      </c>
      <c r="B47" s="9">
        <v>244.91</v>
      </c>
      <c r="H47" s="13">
        <f t="shared" si="0"/>
        <v>244.91</v>
      </c>
    </row>
    <row r="48" spans="1:8" ht="15.5">
      <c r="A48" s="2" t="s">
        <v>37</v>
      </c>
      <c r="B48" s="426">
        <v>9139.9</v>
      </c>
      <c r="H48" s="13">
        <f t="shared" si="0"/>
        <v>9139.9</v>
      </c>
    </row>
    <row r="49" spans="1:8" ht="15.5">
      <c r="A49" s="2" t="s">
        <v>39</v>
      </c>
      <c r="B49" s="9">
        <v>1094.3</v>
      </c>
      <c r="H49" s="13">
        <f t="shared" si="0"/>
        <v>1094.3</v>
      </c>
    </row>
    <row r="50" spans="1:8" ht="15.5">
      <c r="A50" s="2" t="s">
        <v>41</v>
      </c>
      <c r="B50" s="9">
        <v>3770</v>
      </c>
      <c r="H50" s="13">
        <f t="shared" si="0"/>
        <v>3770</v>
      </c>
    </row>
    <row r="51" spans="1:8" ht="15.5">
      <c r="A51" s="2" t="s">
        <v>42</v>
      </c>
      <c r="B51" s="9">
        <v>3117.08</v>
      </c>
      <c r="H51" s="13">
        <f t="shared" si="0"/>
        <v>3117.08</v>
      </c>
    </row>
    <row r="52" spans="1:8" ht="15.5">
      <c r="A52" s="2" t="s">
        <v>43</v>
      </c>
      <c r="B52" s="9">
        <v>173.35</v>
      </c>
      <c r="H52" s="13">
        <f t="shared" si="0"/>
        <v>173.35</v>
      </c>
    </row>
    <row r="53" spans="1:8" ht="15.5">
      <c r="A53" s="2" t="s">
        <v>44</v>
      </c>
      <c r="B53" s="9">
        <v>2743</v>
      </c>
      <c r="H53" s="13">
        <f t="shared" si="0"/>
        <v>2743</v>
      </c>
    </row>
    <row r="54" spans="1:8" ht="15.5">
      <c r="A54" s="2" t="s">
        <v>47</v>
      </c>
      <c r="B54" s="9">
        <v>2101.94</v>
      </c>
      <c r="H54" s="13">
        <f t="shared" si="0"/>
        <v>2101.94</v>
      </c>
    </row>
    <row r="55" spans="1:8" ht="15.5">
      <c r="A55" s="2" t="s">
        <v>51</v>
      </c>
      <c r="B55" s="9">
        <v>15620</v>
      </c>
      <c r="H55" s="13">
        <f t="shared" si="0"/>
        <v>15620</v>
      </c>
    </row>
    <row r="56" spans="1:8" ht="15.5">
      <c r="A56" s="2" t="s">
        <v>53</v>
      </c>
      <c r="B56" s="9">
        <v>1663.59</v>
      </c>
      <c r="H56" s="13">
        <f t="shared" si="0"/>
        <v>1663.59</v>
      </c>
    </row>
    <row r="57" spans="1:8" ht="15.5">
      <c r="A57" s="2" t="s">
        <v>56</v>
      </c>
      <c r="B57" s="9">
        <v>5238.07</v>
      </c>
      <c r="H57" s="13">
        <f t="shared" si="0"/>
        <v>5238.07</v>
      </c>
    </row>
    <row r="58" spans="1:8" ht="15.5">
      <c r="A58" s="2" t="s">
        <v>57</v>
      </c>
      <c r="B58" s="9">
        <v>13299.9</v>
      </c>
      <c r="H58" s="13">
        <f t="shared" si="0"/>
        <v>13299.9</v>
      </c>
    </row>
    <row r="59" spans="1:8" ht="15.5">
      <c r="A59" s="2" t="s">
        <v>58</v>
      </c>
      <c r="B59" s="9">
        <v>965.32</v>
      </c>
      <c r="H59" s="13">
        <f t="shared" si="0"/>
        <v>965.32</v>
      </c>
    </row>
    <row r="60" spans="1:8" ht="15.5">
      <c r="A60" s="2" t="s">
        <v>59</v>
      </c>
      <c r="B60" s="9">
        <v>12594.93</v>
      </c>
      <c r="H60" s="13">
        <f t="shared" si="0"/>
        <v>12594.93</v>
      </c>
    </row>
    <row r="61" spans="1:8" ht="15.5">
      <c r="A61" s="2" t="s">
        <v>60</v>
      </c>
      <c r="B61" s="9">
        <v>570.09</v>
      </c>
      <c r="H61" s="13">
        <f t="shared" si="0"/>
        <v>570.09</v>
      </c>
    </row>
    <row r="62" spans="1:8" ht="15.5">
      <c r="A62" s="2" t="s">
        <v>61</v>
      </c>
      <c r="B62" s="9">
        <v>9901.65</v>
      </c>
      <c r="H62" s="13">
        <f t="shared" si="0"/>
        <v>9901.65</v>
      </c>
    </row>
    <row r="63" spans="1:8" ht="15.5">
      <c r="A63" s="2" t="s">
        <v>64</v>
      </c>
      <c r="B63" s="9">
        <v>33763.160000000003</v>
      </c>
      <c r="H63" s="13">
        <f t="shared" si="0"/>
        <v>33763.160000000003</v>
      </c>
    </row>
    <row r="64" spans="1:8" ht="15.5">
      <c r="A64" s="2" t="s">
        <v>65</v>
      </c>
      <c r="B64" s="9">
        <v>19854.650000000001</v>
      </c>
      <c r="H64" s="13">
        <f t="shared" si="0"/>
        <v>19854.650000000001</v>
      </c>
    </row>
    <row r="65" spans="1:8" ht="15.5">
      <c r="A65" s="2" t="s">
        <v>66</v>
      </c>
      <c r="B65" s="9">
        <v>1656</v>
      </c>
      <c r="H65" s="13">
        <f t="shared" si="0"/>
        <v>1656</v>
      </c>
    </row>
    <row r="66" spans="1:8" ht="15.5">
      <c r="A66" s="2" t="s">
        <v>69</v>
      </c>
      <c r="B66" s="9">
        <v>604.71</v>
      </c>
      <c r="H66" s="13">
        <f t="shared" si="0"/>
        <v>604.71</v>
      </c>
    </row>
    <row r="67" spans="1:8" ht="15.5">
      <c r="A67" s="2" t="s">
        <v>70</v>
      </c>
      <c r="B67" s="9">
        <v>4268.8900000000003</v>
      </c>
      <c r="H67" s="13">
        <f t="shared" si="0"/>
        <v>4268.8900000000003</v>
      </c>
    </row>
    <row r="68" spans="1:8" ht="15.5">
      <c r="A68" s="2" t="s">
        <v>71</v>
      </c>
      <c r="B68" s="9">
        <v>750</v>
      </c>
      <c r="H68" s="13">
        <f t="shared" si="0"/>
        <v>750</v>
      </c>
    </row>
    <row r="69" spans="1:8" ht="15.5">
      <c r="A69" s="2" t="s">
        <v>72</v>
      </c>
      <c r="B69" s="9">
        <v>40012.36</v>
      </c>
      <c r="H69" s="13">
        <f t="shared" si="0"/>
        <v>40012.36</v>
      </c>
    </row>
    <row r="70" spans="1:8" ht="15.5">
      <c r="A70" s="2" t="s">
        <v>74</v>
      </c>
      <c r="B70" s="9">
        <v>6526.11</v>
      </c>
      <c r="H70" s="13">
        <f t="shared" si="0"/>
        <v>6526.11</v>
      </c>
    </row>
    <row r="71" spans="1:8" ht="15.5">
      <c r="A71" s="2" t="s">
        <v>174</v>
      </c>
      <c r="B71" s="9"/>
      <c r="D71" s="9">
        <f>-'Balance Sheet &amp; IS'!B54</f>
        <v>60248.220000000008</v>
      </c>
      <c r="E71" s="9"/>
      <c r="F71" s="9">
        <v>2527</v>
      </c>
      <c r="H71" s="13">
        <f t="shared" ref="H71:H90" si="1">SUM(B71:G71)</f>
        <v>62775.220000000008</v>
      </c>
    </row>
    <row r="72" spans="1:8" ht="15.5">
      <c r="A72" s="2" t="s">
        <v>159</v>
      </c>
      <c r="B72" s="9"/>
      <c r="D72" s="9">
        <f>-'Balance Sheet &amp; IS'!B57</f>
        <v>114345.58</v>
      </c>
      <c r="E72" s="9"/>
      <c r="F72" s="9"/>
      <c r="H72" s="13">
        <f t="shared" si="1"/>
        <v>114345.58</v>
      </c>
    </row>
    <row r="73" spans="1:8" ht="15.5">
      <c r="A73" s="12" t="s">
        <v>80</v>
      </c>
      <c r="B73" s="9">
        <v>2694</v>
      </c>
      <c r="D73" s="9"/>
      <c r="E73" s="9"/>
      <c r="F73" s="9">
        <f>-B73</f>
        <v>-2694</v>
      </c>
      <c r="H73" s="13">
        <f t="shared" si="1"/>
        <v>0</v>
      </c>
    </row>
    <row r="74" spans="1:8" ht="15.5">
      <c r="A74" s="12" t="s">
        <v>81</v>
      </c>
      <c r="B74" s="9">
        <v>65371.93</v>
      </c>
      <c r="D74" s="9"/>
      <c r="E74" s="9"/>
      <c r="F74" s="9">
        <f t="shared" ref="F74:F77" si="2">-B74</f>
        <v>-65371.93</v>
      </c>
      <c r="H74" s="13">
        <f t="shared" si="1"/>
        <v>0</v>
      </c>
    </row>
    <row r="75" spans="1:8" ht="15.5">
      <c r="A75" s="12" t="s">
        <v>82</v>
      </c>
      <c r="B75" s="9">
        <v>45986.400000000001</v>
      </c>
      <c r="D75" s="9"/>
      <c r="E75" s="9"/>
      <c r="F75" s="9">
        <f t="shared" si="2"/>
        <v>-45986.400000000001</v>
      </c>
      <c r="H75" s="13">
        <f t="shared" si="1"/>
        <v>0</v>
      </c>
    </row>
    <row r="76" spans="1:8" ht="15.5">
      <c r="A76" s="12" t="s">
        <v>83</v>
      </c>
      <c r="B76" s="9">
        <v>67344.11</v>
      </c>
      <c r="D76" s="9"/>
      <c r="E76" s="9"/>
      <c r="F76" s="9">
        <f t="shared" si="2"/>
        <v>-67344.11</v>
      </c>
      <c r="H76" s="13">
        <f t="shared" si="1"/>
        <v>0</v>
      </c>
    </row>
    <row r="77" spans="1:8" ht="15.5">
      <c r="A77" s="12" t="s">
        <v>475</v>
      </c>
      <c r="B77" s="9">
        <v>18302.63</v>
      </c>
      <c r="D77" s="9"/>
      <c r="E77" s="9"/>
      <c r="F77" s="9">
        <f t="shared" si="2"/>
        <v>-18302.63</v>
      </c>
      <c r="H77" s="13">
        <f t="shared" si="1"/>
        <v>0</v>
      </c>
    </row>
    <row r="78" spans="1:8" ht="15.5">
      <c r="A78" s="12" t="s">
        <v>190</v>
      </c>
      <c r="B78" s="9">
        <v>4275</v>
      </c>
      <c r="D78" s="9"/>
      <c r="E78" s="9"/>
      <c r="F78" s="9"/>
      <c r="H78" s="13">
        <f t="shared" si="1"/>
        <v>4275</v>
      </c>
    </row>
    <row r="79" spans="1:8" ht="15.5">
      <c r="A79" s="12" t="s">
        <v>153</v>
      </c>
      <c r="B79" s="9"/>
      <c r="D79" s="9">
        <f>-'Balance Sheet &amp; IS'!B50</f>
        <v>344000</v>
      </c>
      <c r="E79" s="9"/>
      <c r="F79" s="9"/>
      <c r="H79" s="13">
        <f t="shared" si="1"/>
        <v>344000</v>
      </c>
    </row>
    <row r="80" spans="1:8" ht="15.5">
      <c r="A80" s="12" t="s">
        <v>154</v>
      </c>
      <c r="B80" s="9"/>
      <c r="D80" s="9">
        <f>-'Balance Sheet &amp; IS'!B51</f>
        <v>575</v>
      </c>
      <c r="E80" s="9"/>
      <c r="F80" s="9"/>
      <c r="H80" s="13">
        <f t="shared" si="1"/>
        <v>575</v>
      </c>
    </row>
    <row r="81" spans="1:8" ht="15.5">
      <c r="A81" s="12" t="s">
        <v>155</v>
      </c>
      <c r="B81" s="9"/>
      <c r="D81" s="9">
        <f>-'Balance Sheet &amp; IS'!B52</f>
        <v>113505.01</v>
      </c>
      <c r="E81" s="9"/>
      <c r="F81" s="9"/>
      <c r="H81" s="13">
        <f t="shared" si="1"/>
        <v>113505.01</v>
      </c>
    </row>
    <row r="82" spans="1:8" ht="15.5">
      <c r="A82" s="12" t="s">
        <v>156</v>
      </c>
      <c r="B82" s="9"/>
      <c r="D82" s="9">
        <f>-'Balance Sheet &amp; IS'!B53</f>
        <v>100000</v>
      </c>
      <c r="E82" s="9"/>
      <c r="F82" s="9"/>
      <c r="H82" s="13">
        <f t="shared" si="1"/>
        <v>100000</v>
      </c>
    </row>
    <row r="83" spans="1:8" ht="15.5">
      <c r="A83" s="12" t="s">
        <v>157</v>
      </c>
      <c r="B83" s="9"/>
      <c r="D83" s="9">
        <f>-'Balance Sheet &amp; IS'!B55</f>
        <v>70065.009999999995</v>
      </c>
      <c r="E83" s="9"/>
      <c r="F83" s="9"/>
      <c r="H83" s="13">
        <f t="shared" si="1"/>
        <v>70065.009999999995</v>
      </c>
    </row>
    <row r="84" spans="1:8" ht="15.5">
      <c r="A84" s="12" t="s">
        <v>158</v>
      </c>
      <c r="B84" s="9"/>
      <c r="D84" s="9">
        <f>-'Balance Sheet &amp; IS'!B56</f>
        <v>34448</v>
      </c>
      <c r="E84" s="9"/>
      <c r="F84" s="9"/>
      <c r="H84" s="13">
        <f t="shared" si="1"/>
        <v>34448</v>
      </c>
    </row>
    <row r="85" spans="1:8" ht="15.5">
      <c r="A85" s="12" t="s">
        <v>160</v>
      </c>
      <c r="B85" s="9"/>
      <c r="D85" s="9">
        <f>-'Balance Sheet &amp; IS'!B58</f>
        <v>13210</v>
      </c>
      <c r="E85" s="9"/>
      <c r="F85" s="9"/>
      <c r="H85" s="13">
        <f t="shared" si="1"/>
        <v>13210</v>
      </c>
    </row>
    <row r="86" spans="1:8" ht="15.5">
      <c r="A86" s="12" t="s">
        <v>164</v>
      </c>
      <c r="B86" s="9"/>
      <c r="D86" s="9">
        <f>-'Balance Sheet &amp; IS'!B63</f>
        <v>-16082.439999999999</v>
      </c>
      <c r="E86" s="9"/>
      <c r="F86" s="9"/>
      <c r="H86" s="13">
        <f t="shared" si="1"/>
        <v>-16082.439999999999</v>
      </c>
    </row>
    <row r="87" spans="1:8" ht="15.5">
      <c r="A87" s="12" t="s">
        <v>386</v>
      </c>
      <c r="B87" s="9"/>
      <c r="D87" s="9">
        <f>-'Balance Sheet &amp; IS'!B64</f>
        <v>287481.82</v>
      </c>
      <c r="E87" s="9"/>
      <c r="F87" s="9"/>
      <c r="H87" s="13">
        <f t="shared" si="1"/>
        <v>287481.82</v>
      </c>
    </row>
    <row r="88" spans="1:8" ht="15.5">
      <c r="A88" s="12" t="s">
        <v>387</v>
      </c>
      <c r="B88" s="9"/>
      <c r="D88" s="9">
        <f>-'Balance Sheet &amp; IS'!B65</f>
        <v>8555.0595999999987</v>
      </c>
      <c r="E88" s="9"/>
      <c r="F88" s="9"/>
      <c r="H88" s="13">
        <f t="shared" si="1"/>
        <v>8555.0595999999987</v>
      </c>
    </row>
    <row r="89" spans="1:8" ht="15.5">
      <c r="A89" s="12" t="s">
        <v>166</v>
      </c>
      <c r="B89" s="9"/>
      <c r="D89" s="9">
        <f>-'Balance Sheet &amp; IS'!B66</f>
        <v>8410.2000000000007</v>
      </c>
      <c r="E89" s="9"/>
      <c r="F89" s="9"/>
      <c r="H89" s="13">
        <f t="shared" si="1"/>
        <v>8410.2000000000007</v>
      </c>
    </row>
    <row r="90" spans="1:8" ht="15.5">
      <c r="A90" s="12" t="s">
        <v>167</v>
      </c>
      <c r="B90" s="9"/>
      <c r="D90" s="9"/>
      <c r="E90" s="9"/>
      <c r="F90" s="9"/>
      <c r="H90" s="13">
        <f t="shared" si="1"/>
        <v>0</v>
      </c>
    </row>
    <row r="91" spans="1:8" ht="15.5">
      <c r="A91" s="12"/>
      <c r="B91" s="9"/>
      <c r="D91" s="9"/>
      <c r="E91" s="9"/>
      <c r="F91" s="9"/>
    </row>
    <row r="92" spans="1:8" ht="15.5">
      <c r="B92" s="13">
        <f>SUM(B5:B91)</f>
        <v>4.0017766878008842E-11</v>
      </c>
      <c r="C92" s="13"/>
      <c r="D92" s="9">
        <f>SUM(D5:D91)</f>
        <v>9.9999988542549545E-3</v>
      </c>
      <c r="E92" s="9"/>
      <c r="F92" s="9">
        <f>SUM(F5:F91)</f>
        <v>0</v>
      </c>
      <c r="G92" s="13"/>
      <c r="H92" s="13">
        <f>SUM(H5:H91)</f>
        <v>9.9999988542549545E-3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showWhiteSpace="0" topLeftCell="A80" zoomScale="120" zoomScaleNormal="120" workbookViewId="0">
      <selection activeCell="C105" sqref="C105"/>
    </sheetView>
  </sheetViews>
  <sheetFormatPr defaultRowHeight="14"/>
  <cols>
    <col min="1" max="1" width="44.5" bestFit="1" customWidth="1"/>
    <col min="2" max="2" width="33.1640625" bestFit="1" customWidth="1"/>
    <col min="3" max="3" width="42.9140625" bestFit="1" customWidth="1"/>
    <col min="4" max="4" width="39" bestFit="1" customWidth="1"/>
    <col min="5" max="5" width="48.75" bestFit="1" customWidth="1"/>
  </cols>
  <sheetData>
    <row r="1" spans="1:5" ht="23">
      <c r="A1" s="472" t="s">
        <v>0</v>
      </c>
      <c r="B1" s="472"/>
      <c r="C1" s="472"/>
      <c r="D1" s="472"/>
      <c r="E1" s="472"/>
    </row>
    <row r="2" spans="1:5">
      <c r="A2" s="469" t="s">
        <v>522</v>
      </c>
      <c r="B2" s="469"/>
      <c r="C2" s="469"/>
      <c r="D2" s="469"/>
      <c r="E2" s="469"/>
    </row>
    <row r="3" spans="1:5">
      <c r="A3" s="469"/>
      <c r="B3" s="469"/>
      <c r="C3" s="469"/>
      <c r="D3" s="469"/>
      <c r="E3" s="469"/>
    </row>
    <row r="4" spans="1:5" ht="16.5">
      <c r="A4" s="473" t="s">
        <v>523</v>
      </c>
      <c r="B4" s="473"/>
      <c r="C4" s="473"/>
      <c r="D4" s="473"/>
      <c r="E4" s="473"/>
    </row>
    <row r="5" spans="1:5" ht="16.5">
      <c r="A5" s="473" t="s">
        <v>524</v>
      </c>
      <c r="B5" s="473"/>
      <c r="C5" s="473"/>
      <c r="D5" s="473"/>
      <c r="E5" s="473"/>
    </row>
    <row r="6" spans="1:5" ht="16.5">
      <c r="A6" s="473" t="s">
        <v>525</v>
      </c>
      <c r="B6" s="473"/>
      <c r="C6" s="473"/>
      <c r="D6" s="473"/>
      <c r="E6" s="473"/>
    </row>
    <row r="7" spans="1:5" ht="16.5">
      <c r="A7" s="473" t="s">
        <v>526</v>
      </c>
      <c r="B7" s="473"/>
      <c r="C7" s="473"/>
      <c r="D7" s="473"/>
      <c r="E7" s="473"/>
    </row>
    <row r="8" spans="1:5" ht="16.5">
      <c r="A8" s="473" t="s">
        <v>527</v>
      </c>
      <c r="B8" s="473"/>
      <c r="C8" s="473"/>
      <c r="D8" s="473"/>
      <c r="E8" s="473"/>
    </row>
    <row r="9" spans="1:5" ht="16.5">
      <c r="A9" s="473" t="s">
        <v>528</v>
      </c>
      <c r="B9" s="473"/>
      <c r="C9" s="473"/>
      <c r="D9" s="473"/>
      <c r="E9" s="473"/>
    </row>
    <row r="10" spans="1:5">
      <c r="A10" s="469"/>
      <c r="B10" s="469"/>
      <c r="C10" s="469"/>
      <c r="D10" s="469"/>
      <c r="E10" s="469"/>
    </row>
    <row r="11" spans="1:5" ht="16.5">
      <c r="A11" s="1" t="s">
        <v>6</v>
      </c>
      <c r="B11" s="1" t="s">
        <v>7</v>
      </c>
      <c r="C11" s="1" t="s">
        <v>464</v>
      </c>
      <c r="D11" s="1" t="s">
        <v>8</v>
      </c>
      <c r="E11" s="1" t="s">
        <v>465</v>
      </c>
    </row>
    <row r="12" spans="1:5" ht="15.5">
      <c r="A12" s="3" t="s">
        <v>9</v>
      </c>
      <c r="B12" s="8"/>
      <c r="C12" s="8"/>
      <c r="D12" s="8"/>
      <c r="E12" s="8"/>
    </row>
    <row r="13" spans="1:5" ht="15.5">
      <c r="A13" s="3" t="s">
        <v>10</v>
      </c>
      <c r="B13" s="8"/>
      <c r="C13" s="8"/>
      <c r="D13" s="8"/>
      <c r="E13" s="8"/>
    </row>
    <row r="14" spans="1:5" ht="15.5">
      <c r="A14" s="3" t="s">
        <v>11</v>
      </c>
      <c r="B14" s="8"/>
      <c r="C14" s="8"/>
      <c r="D14" s="8"/>
      <c r="E14" s="8"/>
    </row>
    <row r="15" spans="1:5" ht="15.5">
      <c r="A15" s="2" t="s">
        <v>12</v>
      </c>
      <c r="B15" s="9">
        <v>149866</v>
      </c>
      <c r="C15" s="9">
        <v>90.41</v>
      </c>
      <c r="D15" s="9">
        <v>794634.06</v>
      </c>
      <c r="E15" s="9">
        <v>91.21</v>
      </c>
    </row>
    <row r="16" spans="1:5" ht="15.5">
      <c r="A16" s="2" t="s">
        <v>13</v>
      </c>
      <c r="B16" s="9">
        <v>0</v>
      </c>
      <c r="C16" s="9">
        <v>0</v>
      </c>
      <c r="D16" s="9">
        <v>3933</v>
      </c>
      <c r="E16" s="9">
        <v>0.45</v>
      </c>
    </row>
    <row r="17" spans="1:5" ht="15.5">
      <c r="A17" s="2" t="s">
        <v>14</v>
      </c>
      <c r="B17" s="9">
        <v>-4390</v>
      </c>
      <c r="C17" s="9">
        <v>-2.65</v>
      </c>
      <c r="D17" s="9">
        <v>-15129.85</v>
      </c>
      <c r="E17" s="9">
        <v>-1.74</v>
      </c>
    </row>
    <row r="18" spans="1:5" ht="15.5">
      <c r="A18" s="3" t="s">
        <v>15</v>
      </c>
      <c r="B18" s="10">
        <v>145476</v>
      </c>
      <c r="C18" s="10">
        <v>87.77</v>
      </c>
      <c r="D18" s="10">
        <v>783437.21</v>
      </c>
      <c r="E18" s="10">
        <v>89.92</v>
      </c>
    </row>
    <row r="19" spans="1:5" ht="15.5">
      <c r="A19" s="3" t="s">
        <v>16</v>
      </c>
      <c r="B19" s="8"/>
      <c r="C19" s="8"/>
      <c r="D19" s="8"/>
      <c r="E19" s="8"/>
    </row>
    <row r="20" spans="1:5" ht="15.5">
      <c r="A20" s="2" t="s">
        <v>17</v>
      </c>
      <c r="B20" s="9">
        <v>282.12</v>
      </c>
      <c r="C20" s="9">
        <v>0.17</v>
      </c>
      <c r="D20" s="9">
        <v>1331.24</v>
      </c>
      <c r="E20" s="9">
        <v>0.15</v>
      </c>
    </row>
    <row r="21" spans="1:5" ht="15.5">
      <c r="A21" s="2" t="s">
        <v>18</v>
      </c>
      <c r="B21" s="9">
        <v>0</v>
      </c>
      <c r="C21" s="9">
        <v>0</v>
      </c>
      <c r="D21" s="9">
        <v>2780.92</v>
      </c>
      <c r="E21" s="9">
        <v>0.32</v>
      </c>
    </row>
    <row r="22" spans="1:5" ht="15.5">
      <c r="A22" s="2" t="s">
        <v>19</v>
      </c>
      <c r="B22" s="9">
        <v>42.52</v>
      </c>
      <c r="C22" s="9">
        <v>0.03</v>
      </c>
      <c r="D22" s="9">
        <v>193.72</v>
      </c>
      <c r="E22" s="9">
        <v>0.02</v>
      </c>
    </row>
    <row r="23" spans="1:5" ht="15.5">
      <c r="A23" s="2" t="s">
        <v>466</v>
      </c>
      <c r="B23" s="9">
        <v>236.25</v>
      </c>
      <c r="C23" s="9">
        <v>0.14000000000000001</v>
      </c>
      <c r="D23" s="9">
        <v>236.25</v>
      </c>
      <c r="E23" s="9">
        <v>0.03</v>
      </c>
    </row>
    <row r="24" spans="1:5" ht="15.5">
      <c r="A24" s="2" t="s">
        <v>20</v>
      </c>
      <c r="B24" s="9">
        <v>292.5</v>
      </c>
      <c r="C24" s="9">
        <v>0.18</v>
      </c>
      <c r="D24" s="9">
        <v>1350</v>
      </c>
      <c r="E24" s="9">
        <v>0.15</v>
      </c>
    </row>
    <row r="25" spans="1:5" ht="15.5">
      <c r="A25" s="2" t="s">
        <v>467</v>
      </c>
      <c r="B25" s="9">
        <v>25</v>
      </c>
      <c r="C25" s="9">
        <v>0.02</v>
      </c>
      <c r="D25" s="9">
        <v>300.32</v>
      </c>
      <c r="E25" s="9">
        <v>0.03</v>
      </c>
    </row>
    <row r="26" spans="1:5" ht="15.5">
      <c r="A26" s="2" t="s">
        <v>21</v>
      </c>
      <c r="B26" s="9">
        <v>773.83</v>
      </c>
      <c r="C26" s="9">
        <v>0.47</v>
      </c>
      <c r="D26" s="9">
        <v>5263.24</v>
      </c>
      <c r="E26" s="9">
        <v>0.6</v>
      </c>
    </row>
    <row r="27" spans="1:5" ht="15.5">
      <c r="A27" s="2" t="s">
        <v>22</v>
      </c>
      <c r="B27" s="9">
        <v>12.83</v>
      </c>
      <c r="C27" s="9">
        <v>0.01</v>
      </c>
      <c r="D27" s="9">
        <v>81</v>
      </c>
      <c r="E27" s="9">
        <v>0.01</v>
      </c>
    </row>
    <row r="28" spans="1:5" ht="15.5">
      <c r="A28" s="2" t="s">
        <v>23</v>
      </c>
      <c r="B28" s="9">
        <v>900</v>
      </c>
      <c r="C28" s="9">
        <v>0.54</v>
      </c>
      <c r="D28" s="9">
        <v>5300</v>
      </c>
      <c r="E28" s="9">
        <v>0.61</v>
      </c>
    </row>
    <row r="29" spans="1:5" ht="15.5">
      <c r="A29" s="2" t="s">
        <v>24</v>
      </c>
      <c r="B29" s="9">
        <v>4315.5</v>
      </c>
      <c r="C29" s="9">
        <v>2.6</v>
      </c>
      <c r="D29" s="9">
        <v>17996.8</v>
      </c>
      <c r="E29" s="9">
        <v>2.0699999999999998</v>
      </c>
    </row>
    <row r="30" spans="1:5" ht="15.5">
      <c r="A30" s="2" t="s">
        <v>25</v>
      </c>
      <c r="B30" s="9">
        <v>1235.54</v>
      </c>
      <c r="C30" s="9">
        <v>0.75</v>
      </c>
      <c r="D30" s="9">
        <v>9473.42</v>
      </c>
      <c r="E30" s="9">
        <v>1.0900000000000001</v>
      </c>
    </row>
    <row r="31" spans="1:5" ht="15.5">
      <c r="A31" s="2" t="s">
        <v>26</v>
      </c>
      <c r="B31" s="9">
        <v>4187.8500000000004</v>
      </c>
      <c r="C31" s="9">
        <v>2.5299999999999998</v>
      </c>
      <c r="D31" s="9">
        <v>24467.27</v>
      </c>
      <c r="E31" s="9">
        <v>2.81</v>
      </c>
    </row>
    <row r="32" spans="1:5" ht="15.5">
      <c r="A32" s="2" t="s">
        <v>27</v>
      </c>
      <c r="B32" s="9">
        <v>1477.85</v>
      </c>
      <c r="C32" s="9">
        <v>0.89</v>
      </c>
      <c r="D32" s="9">
        <v>-221</v>
      </c>
      <c r="E32" s="9">
        <v>-0.03</v>
      </c>
    </row>
    <row r="33" spans="1:5" ht="15.5">
      <c r="A33" s="3" t="s">
        <v>28</v>
      </c>
      <c r="B33" s="10">
        <v>13781.79</v>
      </c>
      <c r="C33" s="10">
        <v>8.31</v>
      </c>
      <c r="D33" s="10">
        <v>68553.179999999993</v>
      </c>
      <c r="E33" s="10">
        <v>7.87</v>
      </c>
    </row>
    <row r="34" spans="1:5" ht="15.5">
      <c r="A34" s="2" t="s">
        <v>29</v>
      </c>
      <c r="B34" s="9">
        <v>6405</v>
      </c>
      <c r="C34" s="9">
        <v>3.86</v>
      </c>
      <c r="D34" s="9">
        <v>16760</v>
      </c>
      <c r="E34" s="9">
        <v>1.92</v>
      </c>
    </row>
    <row r="35" spans="1:5" ht="15.5">
      <c r="A35" s="2" t="s">
        <v>30</v>
      </c>
      <c r="B35" s="9">
        <v>96.98</v>
      </c>
      <c r="C35" s="9">
        <v>0.06</v>
      </c>
      <c r="D35" s="9">
        <v>849.56</v>
      </c>
      <c r="E35" s="9">
        <v>0.1</v>
      </c>
    </row>
    <row r="36" spans="1:5" ht="15.5">
      <c r="A36" s="2" t="s">
        <v>31</v>
      </c>
      <c r="B36" s="9">
        <v>0</v>
      </c>
      <c r="C36" s="9">
        <v>0</v>
      </c>
      <c r="D36" s="9">
        <v>519.75</v>
      </c>
      <c r="E36" s="9">
        <v>0.06</v>
      </c>
    </row>
    <row r="37" spans="1:5" ht="15.5">
      <c r="A37" s="2" t="s">
        <v>32</v>
      </c>
      <c r="B37" s="9">
        <v>-5.5</v>
      </c>
      <c r="C37" s="9">
        <v>0</v>
      </c>
      <c r="D37" s="9">
        <v>1103.25</v>
      </c>
      <c r="E37" s="9">
        <v>0.13</v>
      </c>
    </row>
    <row r="38" spans="1:5" ht="15.5">
      <c r="A38" s="3" t="s">
        <v>33</v>
      </c>
      <c r="B38" s="10">
        <v>165754.26999999999</v>
      </c>
      <c r="C38" s="10">
        <v>100</v>
      </c>
      <c r="D38" s="10">
        <v>871222.95</v>
      </c>
      <c r="E38" s="10">
        <v>100</v>
      </c>
    </row>
    <row r="39" spans="1:5" ht="15.5">
      <c r="A39" s="3" t="s">
        <v>34</v>
      </c>
      <c r="B39" s="8"/>
      <c r="C39" s="8"/>
      <c r="D39" s="8"/>
      <c r="E39" s="8"/>
    </row>
    <row r="40" spans="1:5" ht="15.5">
      <c r="A40" s="3" t="s">
        <v>35</v>
      </c>
      <c r="B40" s="8"/>
      <c r="C40" s="8"/>
      <c r="D40" s="8"/>
      <c r="E40" s="8"/>
    </row>
    <row r="41" spans="1:5" ht="15.5">
      <c r="A41" s="2" t="s">
        <v>468</v>
      </c>
      <c r="B41" s="9">
        <v>95</v>
      </c>
      <c r="C41" s="9">
        <v>0.06</v>
      </c>
      <c r="D41" s="9">
        <v>95</v>
      </c>
      <c r="E41" s="9">
        <v>0.01</v>
      </c>
    </row>
    <row r="42" spans="1:5" ht="15.5">
      <c r="A42" s="2" t="s">
        <v>36</v>
      </c>
      <c r="B42" s="9">
        <v>0</v>
      </c>
      <c r="C42" s="9">
        <v>0</v>
      </c>
      <c r="D42" s="9">
        <v>244.91</v>
      </c>
      <c r="E42" s="9">
        <v>0.03</v>
      </c>
    </row>
    <row r="43" spans="1:5" ht="15.5">
      <c r="A43" s="2" t="s">
        <v>37</v>
      </c>
      <c r="B43" s="9">
        <v>1638.7</v>
      </c>
      <c r="C43" s="9">
        <v>0.99</v>
      </c>
      <c r="D43" s="9">
        <v>9139.9</v>
      </c>
      <c r="E43" s="9">
        <v>1.05</v>
      </c>
    </row>
    <row r="44" spans="1:5" ht="15.5">
      <c r="A44" s="3" t="s">
        <v>38</v>
      </c>
      <c r="B44" s="10">
        <v>1733.7</v>
      </c>
      <c r="C44" s="10">
        <v>1.05</v>
      </c>
      <c r="D44" s="10">
        <v>9479.81</v>
      </c>
      <c r="E44" s="10">
        <v>1.0900000000000001</v>
      </c>
    </row>
    <row r="45" spans="1:5" ht="15.5">
      <c r="A45" s="2" t="s">
        <v>39</v>
      </c>
      <c r="B45" s="9">
        <v>51.5</v>
      </c>
      <c r="C45" s="9">
        <v>0.03</v>
      </c>
      <c r="D45" s="9">
        <v>1094.3</v>
      </c>
      <c r="E45" s="9">
        <v>0.13</v>
      </c>
    </row>
    <row r="46" spans="1:5" ht="15.5">
      <c r="A46" s="3" t="s">
        <v>40</v>
      </c>
      <c r="B46" s="8"/>
      <c r="C46" s="8"/>
      <c r="D46" s="8"/>
      <c r="E46" s="8"/>
    </row>
    <row r="47" spans="1:5" ht="15.5">
      <c r="A47" s="2" t="s">
        <v>41</v>
      </c>
      <c r="B47" s="9">
        <v>3500</v>
      </c>
      <c r="C47" s="9">
        <v>2.11</v>
      </c>
      <c r="D47" s="9">
        <v>3770</v>
      </c>
      <c r="E47" s="9">
        <v>0.43</v>
      </c>
    </row>
    <row r="48" spans="1:5" ht="15.5">
      <c r="A48" s="2" t="s">
        <v>42</v>
      </c>
      <c r="B48" s="9">
        <v>531.4</v>
      </c>
      <c r="C48" s="9">
        <v>0.32</v>
      </c>
      <c r="D48" s="9">
        <v>3117.08</v>
      </c>
      <c r="E48" s="9">
        <v>0.36</v>
      </c>
    </row>
    <row r="49" spans="1:5" ht="15.5">
      <c r="A49" s="2" t="s">
        <v>43</v>
      </c>
      <c r="B49" s="9">
        <v>152.13999999999999</v>
      </c>
      <c r="C49" s="9">
        <v>0.09</v>
      </c>
      <c r="D49" s="9">
        <v>173.35</v>
      </c>
      <c r="E49" s="9">
        <v>0.02</v>
      </c>
    </row>
    <row r="50" spans="1:5" ht="15.5">
      <c r="A50" s="2" t="s">
        <v>44</v>
      </c>
      <c r="B50" s="9">
        <v>600</v>
      </c>
      <c r="C50" s="9">
        <v>0.36</v>
      </c>
      <c r="D50" s="9">
        <v>2743</v>
      </c>
      <c r="E50" s="9">
        <v>0.31</v>
      </c>
    </row>
    <row r="51" spans="1:5" ht="15.5">
      <c r="A51" s="3" t="s">
        <v>45</v>
      </c>
      <c r="B51" s="10">
        <v>4783.54</v>
      </c>
      <c r="C51" s="10">
        <v>2.89</v>
      </c>
      <c r="D51" s="10">
        <v>9803.43</v>
      </c>
      <c r="E51" s="10">
        <v>1.1299999999999999</v>
      </c>
    </row>
    <row r="52" spans="1:5" ht="15.5">
      <c r="A52" s="3" t="s">
        <v>46</v>
      </c>
      <c r="B52" s="8"/>
      <c r="C52" s="8"/>
      <c r="D52" s="8"/>
      <c r="E52" s="8"/>
    </row>
    <row r="53" spans="1:5" ht="15.5">
      <c r="A53" s="2" t="s">
        <v>47</v>
      </c>
      <c r="B53" s="9">
        <v>0</v>
      </c>
      <c r="C53" s="9">
        <v>0</v>
      </c>
      <c r="D53" s="9">
        <v>2101.94</v>
      </c>
      <c r="E53" s="9">
        <v>0.24</v>
      </c>
    </row>
    <row r="54" spans="1:5" ht="15.5">
      <c r="A54" s="3" t="s">
        <v>48</v>
      </c>
      <c r="B54" s="10">
        <v>0</v>
      </c>
      <c r="C54" s="10">
        <v>0</v>
      </c>
      <c r="D54" s="10">
        <v>2101.94</v>
      </c>
      <c r="E54" s="10">
        <v>0.24</v>
      </c>
    </row>
    <row r="55" spans="1:5" ht="15.5">
      <c r="A55" s="3" t="s">
        <v>49</v>
      </c>
      <c r="B55" s="8"/>
      <c r="C55" s="8"/>
      <c r="D55" s="8"/>
      <c r="E55" s="8"/>
    </row>
    <row r="56" spans="1:5" ht="15.5">
      <c r="A56" s="3" t="s">
        <v>50</v>
      </c>
      <c r="B56" s="8"/>
      <c r="C56" s="8"/>
      <c r="D56" s="8"/>
      <c r="E56" s="8"/>
    </row>
    <row r="57" spans="1:5" ht="15.5">
      <c r="A57" s="2" t="s">
        <v>51</v>
      </c>
      <c r="B57" s="9">
        <v>5597.5</v>
      </c>
      <c r="C57" s="9">
        <v>3.38</v>
      </c>
      <c r="D57" s="9">
        <v>15620</v>
      </c>
      <c r="E57" s="9">
        <v>1.79</v>
      </c>
    </row>
    <row r="58" spans="1:5" ht="15.5">
      <c r="A58" s="3" t="s">
        <v>52</v>
      </c>
      <c r="B58" s="10">
        <v>5597.5</v>
      </c>
      <c r="C58" s="10">
        <v>3.38</v>
      </c>
      <c r="D58" s="10">
        <v>15620</v>
      </c>
      <c r="E58" s="10">
        <v>1.79</v>
      </c>
    </row>
    <row r="59" spans="1:5" ht="15.5">
      <c r="A59" s="2" t="s">
        <v>53</v>
      </c>
      <c r="B59" s="9">
        <v>7784.77</v>
      </c>
      <c r="C59" s="9">
        <v>4.7</v>
      </c>
      <c r="D59" s="9">
        <v>40012.36</v>
      </c>
      <c r="E59" s="9">
        <v>4.59</v>
      </c>
    </row>
    <row r="60" spans="1:5" ht="15.5">
      <c r="A60" s="3" t="s">
        <v>54</v>
      </c>
      <c r="B60" s="10">
        <v>13382.27</v>
      </c>
      <c r="C60" s="10">
        <v>8.07</v>
      </c>
      <c r="D60" s="10">
        <v>55632.36</v>
      </c>
      <c r="E60" s="10">
        <v>6.39</v>
      </c>
    </row>
    <row r="61" spans="1:5" ht="15.5">
      <c r="A61" s="3" t="s">
        <v>55</v>
      </c>
      <c r="B61" s="8"/>
      <c r="C61" s="8"/>
      <c r="D61" s="8"/>
      <c r="E61" s="8"/>
    </row>
    <row r="62" spans="1:5" ht="15.5">
      <c r="A62" s="2" t="s">
        <v>56</v>
      </c>
      <c r="B62" s="9">
        <v>0</v>
      </c>
      <c r="C62" s="9">
        <v>0</v>
      </c>
      <c r="D62" s="9">
        <v>1663.59</v>
      </c>
      <c r="E62" s="9">
        <v>0.19</v>
      </c>
    </row>
    <row r="63" spans="1:5" ht="15.5">
      <c r="A63" s="2" t="s">
        <v>57</v>
      </c>
      <c r="B63" s="9">
        <v>671.4</v>
      </c>
      <c r="C63" s="9">
        <v>0.41</v>
      </c>
      <c r="D63" s="9">
        <v>5238.07</v>
      </c>
      <c r="E63" s="9">
        <v>0.6</v>
      </c>
    </row>
    <row r="64" spans="1:5" ht="15.5">
      <c r="A64" s="2" t="s">
        <v>58</v>
      </c>
      <c r="B64" s="9">
        <v>1639.31</v>
      </c>
      <c r="C64" s="9">
        <v>0.99</v>
      </c>
      <c r="D64" s="9">
        <v>13299.9</v>
      </c>
      <c r="E64" s="9">
        <v>1.53</v>
      </c>
    </row>
    <row r="65" spans="1:5" ht="15.5">
      <c r="A65" s="2" t="s">
        <v>59</v>
      </c>
      <c r="B65" s="9">
        <v>147.33000000000001</v>
      </c>
      <c r="C65" s="9">
        <v>0.09</v>
      </c>
      <c r="D65" s="9">
        <v>965.32</v>
      </c>
      <c r="E65" s="9">
        <v>0.11</v>
      </c>
    </row>
    <row r="66" spans="1:5" ht="15.5">
      <c r="A66" s="2" t="s">
        <v>60</v>
      </c>
      <c r="B66" s="9">
        <v>510.73</v>
      </c>
      <c r="C66" s="9">
        <v>0.31</v>
      </c>
      <c r="D66" s="9">
        <v>12594.93</v>
      </c>
      <c r="E66" s="9">
        <v>1.45</v>
      </c>
    </row>
    <row r="67" spans="1:5" ht="15.5">
      <c r="A67" s="2" t="s">
        <v>61</v>
      </c>
      <c r="B67" s="9">
        <v>59.91</v>
      </c>
      <c r="C67" s="9">
        <v>0.04</v>
      </c>
      <c r="D67" s="9">
        <v>570.09</v>
      </c>
      <c r="E67" s="9">
        <v>7.0000000000000007E-2</v>
      </c>
    </row>
    <row r="68" spans="1:5" ht="15.5">
      <c r="A68" s="3" t="s">
        <v>62</v>
      </c>
      <c r="B68" s="10">
        <v>3028.68</v>
      </c>
      <c r="C68" s="10">
        <v>1.83</v>
      </c>
      <c r="D68" s="10">
        <v>34331.9</v>
      </c>
      <c r="E68" s="10">
        <v>3.94</v>
      </c>
    </row>
    <row r="69" spans="1:5" ht="15.5">
      <c r="A69" s="3" t="s">
        <v>63</v>
      </c>
      <c r="B69" s="8"/>
      <c r="C69" s="8"/>
      <c r="D69" s="8"/>
      <c r="E69" s="8"/>
    </row>
    <row r="70" spans="1:5" ht="15.5">
      <c r="A70" s="2" t="s">
        <v>64</v>
      </c>
      <c r="B70" s="9">
        <v>1771.74</v>
      </c>
      <c r="C70" s="9">
        <v>1.07</v>
      </c>
      <c r="D70" s="9">
        <v>9901.65</v>
      </c>
      <c r="E70" s="9">
        <v>1.1399999999999999</v>
      </c>
    </row>
    <row r="71" spans="1:5" ht="15.5">
      <c r="A71" s="2" t="s">
        <v>65</v>
      </c>
      <c r="B71" s="9">
        <v>5900.99</v>
      </c>
      <c r="C71" s="9">
        <v>3.56</v>
      </c>
      <c r="D71" s="9">
        <v>33763.160000000003</v>
      </c>
      <c r="E71" s="9">
        <v>3.88</v>
      </c>
    </row>
    <row r="72" spans="1:5" ht="15.5">
      <c r="A72" s="2" t="s">
        <v>66</v>
      </c>
      <c r="B72" s="9">
        <v>3244.18</v>
      </c>
      <c r="C72" s="9">
        <v>1.96</v>
      </c>
      <c r="D72" s="9">
        <v>19854.650000000001</v>
      </c>
      <c r="E72" s="9">
        <v>2.2799999999999998</v>
      </c>
    </row>
    <row r="73" spans="1:5" ht="15.5">
      <c r="A73" s="3" t="s">
        <v>67</v>
      </c>
      <c r="B73" s="10">
        <v>10916.91</v>
      </c>
      <c r="C73" s="10">
        <v>6.59</v>
      </c>
      <c r="D73" s="10">
        <v>63519.46</v>
      </c>
      <c r="E73" s="10">
        <v>7.29</v>
      </c>
    </row>
    <row r="74" spans="1:5" ht="15.5">
      <c r="A74" s="3" t="s">
        <v>68</v>
      </c>
      <c r="B74" s="8"/>
      <c r="C74" s="8"/>
      <c r="D74" s="8"/>
      <c r="E74" s="8"/>
    </row>
    <row r="75" spans="1:5" ht="15.5">
      <c r="A75" s="2" t="s">
        <v>69</v>
      </c>
      <c r="B75" s="9">
        <v>290</v>
      </c>
      <c r="C75" s="9">
        <v>0.17</v>
      </c>
      <c r="D75" s="9">
        <v>1656</v>
      </c>
      <c r="E75" s="9">
        <v>0.19</v>
      </c>
    </row>
    <row r="76" spans="1:5" ht="15.5">
      <c r="A76" s="2" t="s">
        <v>70</v>
      </c>
      <c r="B76" s="9">
        <v>75</v>
      </c>
      <c r="C76" s="9">
        <v>0.05</v>
      </c>
      <c r="D76" s="9">
        <v>604.71</v>
      </c>
      <c r="E76" s="9">
        <v>7.0000000000000007E-2</v>
      </c>
    </row>
    <row r="77" spans="1:5" ht="15.5">
      <c r="A77" s="2" t="s">
        <v>71</v>
      </c>
      <c r="B77" s="9">
        <v>0</v>
      </c>
      <c r="C77" s="9">
        <v>0</v>
      </c>
      <c r="D77" s="9">
        <v>750</v>
      </c>
      <c r="E77" s="9">
        <v>0.09</v>
      </c>
    </row>
    <row r="78" spans="1:5" ht="15.5">
      <c r="A78" s="2" t="s">
        <v>72</v>
      </c>
      <c r="B78" s="9">
        <v>502.58</v>
      </c>
      <c r="C78" s="9">
        <v>0.3</v>
      </c>
      <c r="D78" s="9">
        <v>4268.8900000000003</v>
      </c>
      <c r="E78" s="9">
        <v>0.49</v>
      </c>
    </row>
    <row r="79" spans="1:5" ht="15.5">
      <c r="A79" s="3" t="s">
        <v>73</v>
      </c>
      <c r="B79" s="10">
        <v>867.58</v>
      </c>
      <c r="C79" s="10">
        <v>0.52</v>
      </c>
      <c r="D79" s="10">
        <v>7279.6</v>
      </c>
      <c r="E79" s="10">
        <v>0.84</v>
      </c>
    </row>
    <row r="80" spans="1:5" ht="15.5">
      <c r="A80" s="2" t="s">
        <v>74</v>
      </c>
      <c r="B80" s="9">
        <v>1459</v>
      </c>
      <c r="C80" s="9">
        <v>0.88</v>
      </c>
      <c r="D80" s="9">
        <v>6526.11</v>
      </c>
      <c r="E80" s="9">
        <v>0.75</v>
      </c>
    </row>
    <row r="81" spans="1:5" ht="15.5">
      <c r="A81" s="3" t="s">
        <v>75</v>
      </c>
      <c r="B81" s="10">
        <v>36223.18</v>
      </c>
      <c r="C81" s="10">
        <v>21.85</v>
      </c>
      <c r="D81" s="10">
        <v>189768.91</v>
      </c>
      <c r="E81" s="10">
        <v>21.78</v>
      </c>
    </row>
    <row r="82" spans="1:5" ht="15.5">
      <c r="A82" s="2"/>
      <c r="B82" s="9"/>
      <c r="C82" s="9"/>
      <c r="D82" s="9"/>
      <c r="E82" s="9"/>
    </row>
    <row r="83" spans="1:5" ht="15.5">
      <c r="A83" s="3" t="s">
        <v>76</v>
      </c>
      <c r="B83" s="8">
        <v>129531.09</v>
      </c>
      <c r="C83" s="8">
        <v>78.150000000000006</v>
      </c>
      <c r="D83" s="8">
        <v>681454.04</v>
      </c>
      <c r="E83" s="8">
        <v>78.22</v>
      </c>
    </row>
    <row r="84" spans="1:5" ht="15.5">
      <c r="A84" s="2"/>
      <c r="B84" s="9"/>
      <c r="C84" s="9"/>
      <c r="D84" s="9"/>
      <c r="E84" s="9"/>
    </row>
    <row r="85" spans="1:5" ht="15.5">
      <c r="A85" s="3" t="s">
        <v>77</v>
      </c>
      <c r="B85" s="8"/>
      <c r="C85" s="8"/>
      <c r="D85" s="8"/>
      <c r="E85" s="8"/>
    </row>
    <row r="86" spans="1:5" ht="15.5">
      <c r="A86" s="3" t="s">
        <v>78</v>
      </c>
      <c r="B86" s="8"/>
      <c r="C86" s="8"/>
      <c r="D86" s="8"/>
      <c r="E86" s="8"/>
    </row>
    <row r="87" spans="1:5" ht="15.5">
      <c r="A87" s="3" t="s">
        <v>79</v>
      </c>
      <c r="B87" s="8"/>
      <c r="C87" s="8"/>
      <c r="D87" s="8"/>
      <c r="E87" s="8"/>
    </row>
    <row r="88" spans="1:5" ht="15.5">
      <c r="A88" s="2" t="s">
        <v>80</v>
      </c>
      <c r="B88" s="9">
        <v>606.4</v>
      </c>
      <c r="C88" s="9">
        <v>0.37</v>
      </c>
      <c r="D88" s="9">
        <v>2694</v>
      </c>
      <c r="E88" s="9">
        <v>0.31</v>
      </c>
    </row>
    <row r="89" spans="1:5" ht="15.5">
      <c r="A89" s="2" t="s">
        <v>81</v>
      </c>
      <c r="B89" s="9">
        <v>8379.31</v>
      </c>
      <c r="C89" s="9">
        <v>5.0599999999999996</v>
      </c>
      <c r="D89" s="9">
        <v>65371.93</v>
      </c>
      <c r="E89" s="9">
        <v>7.5</v>
      </c>
    </row>
    <row r="90" spans="1:5" ht="15.5">
      <c r="A90" s="2" t="s">
        <v>82</v>
      </c>
      <c r="B90" s="9">
        <v>1689.7</v>
      </c>
      <c r="C90" s="9">
        <v>1.02</v>
      </c>
      <c r="D90" s="9">
        <v>45986.400000000001</v>
      </c>
      <c r="E90" s="9">
        <v>5.28</v>
      </c>
    </row>
    <row r="91" spans="1:5" ht="15.5">
      <c r="A91" s="2" t="s">
        <v>83</v>
      </c>
      <c r="B91" s="9">
        <v>1787.55</v>
      </c>
      <c r="C91" s="9">
        <v>1.08</v>
      </c>
      <c r="D91" s="9">
        <v>67344.11</v>
      </c>
      <c r="E91" s="9">
        <v>7.73</v>
      </c>
    </row>
    <row r="92" spans="1:5" ht="15.5">
      <c r="A92" s="2" t="s">
        <v>44</v>
      </c>
      <c r="B92" s="9">
        <v>0</v>
      </c>
      <c r="C92" s="9">
        <v>0</v>
      </c>
      <c r="D92" s="9">
        <v>18302.63</v>
      </c>
      <c r="E92" s="9">
        <v>2.1</v>
      </c>
    </row>
    <row r="93" spans="1:5" ht="15.5">
      <c r="A93" s="2" t="s">
        <v>190</v>
      </c>
      <c r="B93" s="9">
        <v>3525</v>
      </c>
      <c r="C93" s="9">
        <v>2.13</v>
      </c>
      <c r="D93" s="9">
        <v>4275</v>
      </c>
      <c r="E93" s="9">
        <v>0.49</v>
      </c>
    </row>
    <row r="94" spans="1:5" ht="15.5">
      <c r="A94" s="3" t="s">
        <v>84</v>
      </c>
      <c r="B94" s="10">
        <v>15987.96</v>
      </c>
      <c r="C94" s="10">
        <v>9.65</v>
      </c>
      <c r="D94" s="10">
        <v>203974.07</v>
      </c>
      <c r="E94" s="10">
        <v>23.41</v>
      </c>
    </row>
    <row r="95" spans="1:5" ht="15.5">
      <c r="A95" s="3" t="s">
        <v>85</v>
      </c>
      <c r="B95" s="10">
        <v>15987.96</v>
      </c>
      <c r="C95" s="10">
        <v>9.65</v>
      </c>
      <c r="D95" s="10">
        <v>203974.07</v>
      </c>
      <c r="E95" s="10">
        <v>23.41</v>
      </c>
    </row>
    <row r="96" spans="1:5" ht="15.5">
      <c r="A96" s="2"/>
      <c r="B96" s="9"/>
      <c r="C96" s="9"/>
      <c r="D96" s="9"/>
      <c r="E96" s="9"/>
    </row>
    <row r="97" spans="1:5" ht="15.5">
      <c r="A97" s="3" t="s">
        <v>86</v>
      </c>
      <c r="B97" s="10">
        <v>-15987.96</v>
      </c>
      <c r="C97" s="10">
        <v>-9.65</v>
      </c>
      <c r="D97" s="10">
        <v>-203974.07</v>
      </c>
      <c r="E97" s="10">
        <v>-23.41</v>
      </c>
    </row>
    <row r="98" spans="1:5" ht="15.5">
      <c r="A98" s="2"/>
      <c r="B98" s="9"/>
      <c r="C98" s="9"/>
      <c r="D98" s="9"/>
      <c r="E98" s="9"/>
    </row>
    <row r="99" spans="1:5" ht="15.5">
      <c r="A99" s="2" t="s">
        <v>87</v>
      </c>
      <c r="B99" s="9">
        <v>165754.26999999999</v>
      </c>
      <c r="C99" s="9">
        <v>100</v>
      </c>
      <c r="D99" s="9">
        <v>871222.95</v>
      </c>
      <c r="E99" s="9">
        <v>100</v>
      </c>
    </row>
    <row r="100" spans="1:5" ht="15.5">
      <c r="A100" s="2" t="s">
        <v>88</v>
      </c>
      <c r="B100" s="9">
        <v>52211.14</v>
      </c>
      <c r="C100" s="9">
        <v>31.5</v>
      </c>
      <c r="D100" s="9">
        <v>393742.98</v>
      </c>
      <c r="E100" s="9">
        <v>45.19</v>
      </c>
    </row>
    <row r="101" spans="1:5" ht="16" thickBot="1">
      <c r="A101" s="2"/>
      <c r="B101" s="9"/>
      <c r="C101" s="9"/>
      <c r="D101" s="9"/>
      <c r="E101" s="9"/>
    </row>
    <row r="102" spans="1:5" ht="15.5">
      <c r="A102" s="3" t="s">
        <v>89</v>
      </c>
      <c r="B102" s="11">
        <v>113543.13</v>
      </c>
      <c r="C102" s="11">
        <v>68.5</v>
      </c>
      <c r="D102" s="11">
        <v>477479.97</v>
      </c>
      <c r="E102" s="11">
        <v>54.81</v>
      </c>
    </row>
  </sheetData>
  <mergeCells count="10">
    <mergeCell ref="A6:E6"/>
    <mergeCell ref="A7:E7"/>
    <mergeCell ref="A8:E8"/>
    <mergeCell ref="A9:E9"/>
    <mergeCell ref="A10:E10"/>
    <mergeCell ref="A1:E1"/>
    <mergeCell ref="A2:E2"/>
    <mergeCell ref="A3:E3"/>
    <mergeCell ref="A4:E4"/>
    <mergeCell ref="A5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showWhiteSpace="0" topLeftCell="A30" workbookViewId="0">
      <selection activeCell="A3" sqref="A1:XFD1048576"/>
    </sheetView>
  </sheetViews>
  <sheetFormatPr defaultRowHeight="14"/>
  <cols>
    <col min="1" max="1" width="9" bestFit="1" customWidth="1"/>
    <col min="2" max="2" width="54" bestFit="1" customWidth="1"/>
    <col min="3" max="3" width="21.58203125" bestFit="1" customWidth="1"/>
    <col min="5" max="5" width="10.33203125" bestFit="1" customWidth="1"/>
  </cols>
  <sheetData>
    <row r="1" spans="1:5" ht="23">
      <c r="A1" s="472" t="s">
        <v>90</v>
      </c>
      <c r="B1" s="472"/>
      <c r="C1" s="472"/>
    </row>
    <row r="2" spans="1:5">
      <c r="A2" s="469" t="s">
        <v>469</v>
      </c>
      <c r="B2" s="469"/>
      <c r="C2" s="469"/>
    </row>
    <row r="3" spans="1:5">
      <c r="A3" s="469"/>
      <c r="B3" s="469"/>
      <c r="C3" s="469"/>
    </row>
    <row r="4" spans="1:5" ht="16.5">
      <c r="A4" s="473" t="s">
        <v>2</v>
      </c>
      <c r="B4" s="473"/>
      <c r="C4" s="473"/>
    </row>
    <row r="5" spans="1:5" ht="16.5">
      <c r="A5" s="473" t="s">
        <v>470</v>
      </c>
      <c r="B5" s="473"/>
      <c r="C5" s="473"/>
    </row>
    <row r="6" spans="1:5" ht="16.5">
      <c r="A6" s="473" t="s">
        <v>3</v>
      </c>
      <c r="B6" s="473"/>
      <c r="C6" s="473"/>
    </row>
    <row r="7" spans="1:5" ht="16.5">
      <c r="A7" s="473" t="s">
        <v>4</v>
      </c>
      <c r="B7" s="473"/>
      <c r="C7" s="473"/>
    </row>
    <row r="8" spans="1:5" ht="16.5">
      <c r="A8" s="473" t="s">
        <v>5</v>
      </c>
      <c r="B8" s="473"/>
      <c r="C8" s="473"/>
    </row>
    <row r="9" spans="1:5">
      <c r="A9" s="469"/>
      <c r="B9" s="469"/>
      <c r="C9" s="469"/>
    </row>
    <row r="10" spans="1:5" ht="16.5">
      <c r="A10" s="1" t="s">
        <v>91</v>
      </c>
      <c r="B10" s="1" t="s">
        <v>6</v>
      </c>
      <c r="C10" s="1" t="s">
        <v>92</v>
      </c>
    </row>
    <row r="11" spans="1:5" ht="15.5">
      <c r="A11" s="3"/>
      <c r="B11" s="3" t="s">
        <v>93</v>
      </c>
      <c r="C11" s="8"/>
    </row>
    <row r="12" spans="1:5" ht="15.5">
      <c r="A12" s="3"/>
      <c r="B12" s="3" t="s">
        <v>94</v>
      </c>
      <c r="C12" s="8"/>
    </row>
    <row r="13" spans="1:5" ht="15.5">
      <c r="A13" s="2" t="s">
        <v>95</v>
      </c>
      <c r="B13" s="2" t="s">
        <v>96</v>
      </c>
      <c r="C13" s="9">
        <v>17506.830000000002</v>
      </c>
      <c r="E13" s="9"/>
    </row>
    <row r="14" spans="1:5" ht="15.5">
      <c r="A14" s="2" t="s">
        <v>97</v>
      </c>
      <c r="B14" s="2" t="s">
        <v>98</v>
      </c>
      <c r="C14" s="9">
        <v>88145</v>
      </c>
      <c r="E14" s="9"/>
    </row>
    <row r="15" spans="1:5" ht="15.5">
      <c r="A15" s="3"/>
      <c r="B15" s="3" t="s">
        <v>99</v>
      </c>
      <c r="C15" s="10">
        <v>105651.83</v>
      </c>
      <c r="E15" s="41"/>
    </row>
    <row r="16" spans="1:5" ht="16" thickBot="1">
      <c r="A16" s="2" t="s">
        <v>100</v>
      </c>
      <c r="B16" s="2" t="s">
        <v>101</v>
      </c>
      <c r="C16" s="9">
        <v>103505.18</v>
      </c>
    </row>
    <row r="17" spans="1:3" ht="15.5">
      <c r="A17" s="3"/>
      <c r="B17" s="3" t="s">
        <v>102</v>
      </c>
      <c r="C17" s="11">
        <v>209157.01</v>
      </c>
    </row>
    <row r="18" spans="1:3" ht="15.5">
      <c r="A18" s="2"/>
      <c r="B18" s="2"/>
      <c r="C18" s="9"/>
    </row>
    <row r="19" spans="1:3" ht="15.5">
      <c r="A19" s="2"/>
      <c r="B19" s="2"/>
      <c r="C19" s="9"/>
    </row>
    <row r="20" spans="1:3" ht="15.5">
      <c r="A20" s="3"/>
      <c r="B20" s="3" t="s">
        <v>103</v>
      </c>
      <c r="C20" s="8"/>
    </row>
    <row r="21" spans="1:3" ht="15.5">
      <c r="A21" s="3"/>
      <c r="B21" s="3" t="s">
        <v>104</v>
      </c>
      <c r="C21" s="8"/>
    </row>
    <row r="22" spans="1:3" ht="15.5">
      <c r="A22" s="3"/>
      <c r="B22" s="3" t="s">
        <v>105</v>
      </c>
      <c r="C22" s="8"/>
    </row>
    <row r="23" spans="1:3" ht="15.5">
      <c r="A23" s="2" t="s">
        <v>106</v>
      </c>
      <c r="B23" s="2" t="s">
        <v>107</v>
      </c>
      <c r="C23" s="9">
        <v>92730</v>
      </c>
    </row>
    <row r="24" spans="1:3" ht="15.5">
      <c r="A24" s="3"/>
      <c r="B24" s="3" t="s">
        <v>108</v>
      </c>
      <c r="C24" s="10">
        <v>92730</v>
      </c>
    </row>
    <row r="25" spans="1:3" ht="15.5">
      <c r="A25" s="2" t="s">
        <v>109</v>
      </c>
      <c r="B25" s="2" t="s">
        <v>110</v>
      </c>
      <c r="C25" s="9">
        <v>18170.39</v>
      </c>
    </row>
    <row r="26" spans="1:3" ht="15.5">
      <c r="A26" s="2" t="s">
        <v>111</v>
      </c>
      <c r="B26" s="2" t="s">
        <v>112</v>
      </c>
      <c r="C26" s="9">
        <v>12094.77</v>
      </c>
    </row>
    <row r="27" spans="1:3" ht="15.5">
      <c r="A27" s="3"/>
      <c r="B27" s="3" t="s">
        <v>113</v>
      </c>
      <c r="C27" s="10">
        <v>122995.16</v>
      </c>
    </row>
    <row r="28" spans="1:3" ht="15.5">
      <c r="A28" s="3"/>
      <c r="B28" s="3" t="s">
        <v>114</v>
      </c>
      <c r="C28" s="8"/>
    </row>
    <row r="29" spans="1:3" ht="15.5">
      <c r="A29" s="2" t="s">
        <v>115</v>
      </c>
      <c r="B29" s="2" t="s">
        <v>116</v>
      </c>
      <c r="C29" s="9">
        <v>101712.79</v>
      </c>
    </row>
    <row r="30" spans="1:3" ht="15.5">
      <c r="A30" s="2" t="s">
        <v>117</v>
      </c>
      <c r="B30" s="2" t="s">
        <v>118</v>
      </c>
      <c r="C30" s="9">
        <v>-418060.47</v>
      </c>
    </row>
    <row r="31" spans="1:3" ht="15.5">
      <c r="A31" s="2"/>
      <c r="B31" s="2" t="s">
        <v>119</v>
      </c>
      <c r="C31" s="9">
        <v>402509.53</v>
      </c>
    </row>
    <row r="32" spans="1:3" ht="16" thickBot="1">
      <c r="A32" s="3"/>
      <c r="B32" s="3" t="s">
        <v>120</v>
      </c>
      <c r="C32" s="10">
        <v>86161.85</v>
      </c>
    </row>
    <row r="33" spans="1:3" ht="15.5">
      <c r="A33" s="3"/>
      <c r="B33" s="3" t="s">
        <v>121</v>
      </c>
      <c r="C33" s="11">
        <v>209157.01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showWhiteSpace="0" topLeftCell="A7" workbookViewId="0">
      <selection activeCell="H23" sqref="H23"/>
    </sheetView>
  </sheetViews>
  <sheetFormatPr defaultRowHeight="14"/>
  <cols>
    <col min="2" max="2" width="21.83203125" bestFit="1" customWidth="1"/>
    <col min="8" max="8" width="15.75" bestFit="1" customWidth="1"/>
  </cols>
  <sheetData>
    <row r="1" spans="1:11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t="s">
        <v>491</v>
      </c>
      <c r="J1" t="s">
        <v>492</v>
      </c>
      <c r="K1" t="s">
        <v>493</v>
      </c>
    </row>
    <row r="3" spans="1:11">
      <c r="A3" t="s">
        <v>520</v>
      </c>
    </row>
    <row r="4" spans="1:11">
      <c r="A4">
        <v>109</v>
      </c>
      <c r="B4" t="s">
        <v>497</v>
      </c>
      <c r="C4" t="s">
        <v>495</v>
      </c>
      <c r="E4" t="s">
        <v>498</v>
      </c>
      <c r="F4" s="417">
        <v>45717</v>
      </c>
      <c r="G4" s="417">
        <v>45838</v>
      </c>
      <c r="H4">
        <v>475</v>
      </c>
      <c r="I4">
        <v>0</v>
      </c>
      <c r="J4">
        <v>0</v>
      </c>
      <c r="K4">
        <v>475</v>
      </c>
    </row>
    <row r="5" spans="1:11">
      <c r="A5">
        <v>118</v>
      </c>
      <c r="B5" t="s">
        <v>499</v>
      </c>
      <c r="C5" t="s">
        <v>495</v>
      </c>
      <c r="E5" t="s">
        <v>500</v>
      </c>
      <c r="F5" s="417">
        <v>45717</v>
      </c>
      <c r="G5" s="417">
        <v>45890</v>
      </c>
      <c r="H5" s="424">
        <v>10593.98</v>
      </c>
      <c r="I5">
        <v>0</v>
      </c>
      <c r="J5">
        <v>0</v>
      </c>
      <c r="K5" s="424">
        <v>10593.98</v>
      </c>
    </row>
    <row r="6" spans="1:11">
      <c r="A6">
        <v>121</v>
      </c>
      <c r="B6" t="s">
        <v>501</v>
      </c>
      <c r="C6" t="s">
        <v>495</v>
      </c>
      <c r="E6" t="s">
        <v>502</v>
      </c>
      <c r="F6" s="417">
        <v>45717</v>
      </c>
      <c r="G6" s="417">
        <v>45838</v>
      </c>
      <c r="H6" s="424">
        <v>4300</v>
      </c>
      <c r="I6">
        <v>0</v>
      </c>
      <c r="J6">
        <v>0</v>
      </c>
      <c r="K6" s="424">
        <v>4300</v>
      </c>
    </row>
    <row r="7" spans="1:11">
      <c r="A7">
        <v>122</v>
      </c>
      <c r="B7" t="s">
        <v>503</v>
      </c>
      <c r="C7" t="s">
        <v>495</v>
      </c>
      <c r="E7" t="s">
        <v>504</v>
      </c>
      <c r="F7" s="417">
        <v>45717</v>
      </c>
      <c r="G7" s="417">
        <v>45900</v>
      </c>
      <c r="H7" s="424">
        <v>2687</v>
      </c>
      <c r="I7">
        <v>0</v>
      </c>
      <c r="J7" s="424">
        <v>2687</v>
      </c>
      <c r="K7">
        <v>0</v>
      </c>
    </row>
    <row r="8" spans="1:11">
      <c r="A8">
        <v>124</v>
      </c>
      <c r="B8" t="s">
        <v>505</v>
      </c>
      <c r="C8" t="s">
        <v>495</v>
      </c>
      <c r="E8" t="s">
        <v>506</v>
      </c>
      <c r="F8" s="417">
        <v>45717</v>
      </c>
      <c r="G8" s="417">
        <v>45866</v>
      </c>
      <c r="H8">
        <v>175</v>
      </c>
      <c r="I8">
        <v>0</v>
      </c>
      <c r="J8">
        <v>0</v>
      </c>
      <c r="K8">
        <v>175</v>
      </c>
    </row>
    <row r="9" spans="1:11">
      <c r="A9">
        <v>207</v>
      </c>
      <c r="B9" t="s">
        <v>507</v>
      </c>
      <c r="C9" t="s">
        <v>495</v>
      </c>
      <c r="E9" t="s">
        <v>508</v>
      </c>
      <c r="F9" s="417">
        <v>45717</v>
      </c>
      <c r="G9" s="417">
        <v>45808</v>
      </c>
      <c r="H9">
        <v>780</v>
      </c>
      <c r="I9">
        <v>0</v>
      </c>
      <c r="J9">
        <v>0</v>
      </c>
      <c r="K9">
        <v>780</v>
      </c>
    </row>
    <row r="10" spans="1:11">
      <c r="A10">
        <v>209</v>
      </c>
      <c r="B10" t="s">
        <v>496</v>
      </c>
      <c r="C10" t="s">
        <v>495</v>
      </c>
      <c r="D10" t="s">
        <v>494</v>
      </c>
      <c r="F10" s="417">
        <v>45717</v>
      </c>
      <c r="G10" s="417">
        <v>45758</v>
      </c>
      <c r="H10" s="424">
        <v>12695.36</v>
      </c>
      <c r="I10">
        <v>0</v>
      </c>
      <c r="J10">
        <v>0</v>
      </c>
      <c r="K10" s="424">
        <v>12695.36</v>
      </c>
    </row>
    <row r="11" spans="1:11">
      <c r="A11">
        <v>219</v>
      </c>
      <c r="B11" t="s">
        <v>509</v>
      </c>
      <c r="C11" t="s">
        <v>495</v>
      </c>
      <c r="E11" t="s">
        <v>510</v>
      </c>
      <c r="F11" s="417">
        <v>45717</v>
      </c>
      <c r="G11" s="417">
        <v>45807</v>
      </c>
      <c r="H11">
        <v>940</v>
      </c>
      <c r="I11">
        <v>0</v>
      </c>
      <c r="J11">
        <v>0</v>
      </c>
      <c r="K11">
        <v>940</v>
      </c>
    </row>
    <row r="12" spans="1:11">
      <c r="A12">
        <v>224</v>
      </c>
      <c r="B12" t="s">
        <v>511</v>
      </c>
      <c r="C12" t="s">
        <v>495</v>
      </c>
      <c r="E12" t="s">
        <v>512</v>
      </c>
      <c r="F12" s="417">
        <v>45717</v>
      </c>
      <c r="G12" s="417">
        <v>45885</v>
      </c>
      <c r="H12" s="424">
        <v>4269.5</v>
      </c>
      <c r="I12">
        <v>0</v>
      </c>
      <c r="J12">
        <v>0</v>
      </c>
      <c r="K12" s="424">
        <v>4269.5</v>
      </c>
    </row>
    <row r="13" spans="1:11">
      <c r="A13">
        <v>305</v>
      </c>
      <c r="B13" t="s">
        <v>513</v>
      </c>
      <c r="C13" t="s">
        <v>495</v>
      </c>
      <c r="E13" t="s">
        <v>514</v>
      </c>
      <c r="F13" s="417">
        <v>45717</v>
      </c>
      <c r="G13" s="417">
        <v>45904</v>
      </c>
      <c r="H13">
        <v>165</v>
      </c>
      <c r="I13">
        <v>0</v>
      </c>
      <c r="J13">
        <v>165</v>
      </c>
      <c r="K13">
        <v>0</v>
      </c>
    </row>
    <row r="14" spans="1:11">
      <c r="A14">
        <v>306</v>
      </c>
      <c r="B14" t="s">
        <v>515</v>
      </c>
      <c r="C14" t="s">
        <v>495</v>
      </c>
      <c r="F14" s="417">
        <v>45717</v>
      </c>
      <c r="G14" s="417">
        <v>45826</v>
      </c>
      <c r="H14" s="424">
        <v>13642.48</v>
      </c>
      <c r="I14">
        <v>0</v>
      </c>
      <c r="J14">
        <v>0</v>
      </c>
      <c r="K14" s="424">
        <v>13642.48</v>
      </c>
    </row>
    <row r="15" spans="1:11">
      <c r="A15">
        <v>323</v>
      </c>
      <c r="B15" t="s">
        <v>516</v>
      </c>
      <c r="C15" t="s">
        <v>495</v>
      </c>
      <c r="E15" t="s">
        <v>517</v>
      </c>
      <c r="F15" s="417">
        <v>45717</v>
      </c>
      <c r="G15" s="417">
        <v>45899</v>
      </c>
      <c r="H15" s="424">
        <v>1085</v>
      </c>
      <c r="I15">
        <v>0</v>
      </c>
      <c r="J15">
        <v>465</v>
      </c>
      <c r="K15">
        <v>620</v>
      </c>
    </row>
    <row r="16" spans="1:11">
      <c r="A16">
        <v>426</v>
      </c>
      <c r="B16" t="s">
        <v>518</v>
      </c>
      <c r="C16" t="s">
        <v>495</v>
      </c>
      <c r="E16" t="s">
        <v>519</v>
      </c>
      <c r="F16" s="417">
        <v>45717</v>
      </c>
      <c r="G16" s="417">
        <v>45757</v>
      </c>
      <c r="H16" s="424">
        <v>2420</v>
      </c>
      <c r="I16">
        <v>0</v>
      </c>
      <c r="J16">
        <v>0</v>
      </c>
      <c r="K16" s="424">
        <v>2420</v>
      </c>
    </row>
    <row r="17" spans="1:11">
      <c r="H17" s="424">
        <v>54228.32</v>
      </c>
      <c r="I17">
        <v>0</v>
      </c>
      <c r="J17" s="424">
        <v>3317</v>
      </c>
      <c r="K17" s="424">
        <v>50911.32</v>
      </c>
    </row>
    <row r="19" spans="1:11">
      <c r="A19" t="s">
        <v>455</v>
      </c>
      <c r="H19" s="424">
        <v>54228.32</v>
      </c>
      <c r="I19">
        <v>0</v>
      </c>
      <c r="J19" s="424">
        <v>3317</v>
      </c>
      <c r="K19" s="424">
        <v>50911.32</v>
      </c>
    </row>
    <row r="21" spans="1:11">
      <c r="H21" s="424">
        <f>H16+H14+H11+H10+H9+H8+H6+H4</f>
        <v>35427.839999999997</v>
      </c>
    </row>
    <row r="22" spans="1:11">
      <c r="H22" s="424">
        <f>H15+H12+H7+H5</f>
        <v>18635.48</v>
      </c>
    </row>
    <row r="23" spans="1:11">
      <c r="H23">
        <f>H13</f>
        <v>165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zoomScaleNormal="100" workbookViewId="0">
      <selection activeCell="C26" sqref="C26"/>
    </sheetView>
  </sheetViews>
  <sheetFormatPr defaultColWidth="8.25" defaultRowHeight="13.5"/>
  <cols>
    <col min="1" max="1" width="50.6640625" style="15" customWidth="1"/>
    <col min="2" max="2" width="17.1640625" style="15" customWidth="1"/>
    <col min="3" max="3" width="15.08203125" style="15" bestFit="1" customWidth="1"/>
    <col min="4" max="4" width="9.1640625" style="15" bestFit="1" customWidth="1"/>
    <col min="5" max="16384" width="8.25" style="15"/>
  </cols>
  <sheetData>
    <row r="1" spans="1:4" ht="17.5">
      <c r="A1" s="466" t="s">
        <v>124</v>
      </c>
      <c r="B1" s="467"/>
    </row>
    <row r="2" spans="1:4" ht="17.5">
      <c r="A2" s="466" t="s">
        <v>125</v>
      </c>
      <c r="B2" s="467"/>
    </row>
    <row r="3" spans="1:4" ht="15">
      <c r="A3" s="464" t="s">
        <v>461</v>
      </c>
      <c r="B3" s="465"/>
    </row>
    <row r="4" spans="1:4">
      <c r="A4" s="14"/>
      <c r="B4" s="14"/>
    </row>
    <row r="5" spans="1:4">
      <c r="A5" s="16"/>
      <c r="B5" s="17"/>
    </row>
    <row r="6" spans="1:4">
      <c r="A6" s="18" t="s">
        <v>93</v>
      </c>
      <c r="B6" s="19"/>
    </row>
    <row r="7" spans="1:4" ht="14.25" customHeight="1">
      <c r="A7" s="20" t="s">
        <v>126</v>
      </c>
      <c r="B7" s="21">
        <v>1072818</v>
      </c>
    </row>
    <row r="8" spans="1:4">
      <c r="A8" s="20" t="s">
        <v>462</v>
      </c>
      <c r="B8" s="21">
        <v>101712.78999999998</v>
      </c>
    </row>
    <row r="9" spans="1:4">
      <c r="A9" s="20" t="s">
        <v>128</v>
      </c>
      <c r="B9" s="21">
        <v>60248.17000000002</v>
      </c>
    </row>
    <row r="10" spans="1:4">
      <c r="A10" s="20" t="s">
        <v>129</v>
      </c>
      <c r="B10" s="21"/>
    </row>
    <row r="11" spans="1:4">
      <c r="A11" s="20" t="s">
        <v>130</v>
      </c>
      <c r="B11" s="21"/>
    </row>
    <row r="12" spans="1:4">
      <c r="A12" s="20" t="s">
        <v>131</v>
      </c>
      <c r="B12" s="21">
        <v>17423169.359999999</v>
      </c>
    </row>
    <row r="13" spans="1:4">
      <c r="A13" s="20" t="s">
        <v>132</v>
      </c>
      <c r="B13" s="21">
        <v>168204.20000000004</v>
      </c>
    </row>
    <row r="14" spans="1:4">
      <c r="A14" s="20" t="s">
        <v>133</v>
      </c>
      <c r="B14" s="21">
        <v>99209.460000000021</v>
      </c>
    </row>
    <row r="15" spans="1:4">
      <c r="A15" s="20" t="s">
        <v>173</v>
      </c>
      <c r="B15" s="21">
        <v>215081.24</v>
      </c>
      <c r="D15" s="26"/>
    </row>
    <row r="16" spans="1:4">
      <c r="A16" s="20" t="s">
        <v>134</v>
      </c>
      <c r="B16" s="21"/>
      <c r="D16" s="26"/>
    </row>
    <row r="17" spans="1:4">
      <c r="A17" s="18" t="s">
        <v>102</v>
      </c>
      <c r="B17" s="388">
        <v>19140443.219999999</v>
      </c>
    </row>
    <row r="18" spans="1:4">
      <c r="A18" s="18"/>
      <c r="B18" s="22"/>
    </row>
    <row r="19" spans="1:4">
      <c r="A19" s="18" t="s">
        <v>135</v>
      </c>
      <c r="B19" s="19"/>
    </row>
    <row r="20" spans="1:4" ht="17.25" customHeight="1">
      <c r="A20" s="18" t="s">
        <v>136</v>
      </c>
      <c r="B20" s="19"/>
    </row>
    <row r="21" spans="1:4">
      <c r="A21" s="20" t="s">
        <v>137</v>
      </c>
      <c r="B21" s="23">
        <v>8655.159599999999</v>
      </c>
      <c r="D21" s="26"/>
    </row>
    <row r="22" spans="1:4">
      <c r="A22" s="20" t="s">
        <v>138</v>
      </c>
      <c r="B22" s="24">
        <v>177461.29000000004</v>
      </c>
      <c r="D22" s="26"/>
    </row>
    <row r="23" spans="1:4">
      <c r="A23" s="20" t="s">
        <v>381</v>
      </c>
      <c r="B23" s="24">
        <v>36450</v>
      </c>
    </row>
    <row r="24" spans="1:4">
      <c r="A24" s="20" t="s">
        <v>139</v>
      </c>
      <c r="B24" s="24">
        <v>12180000</v>
      </c>
    </row>
    <row r="25" spans="1:4">
      <c r="A25" s="20" t="s">
        <v>140</v>
      </c>
      <c r="B25" s="24"/>
    </row>
    <row r="26" spans="1:4">
      <c r="A26" s="18" t="s">
        <v>141</v>
      </c>
      <c r="B26" s="388">
        <v>12402566.4496</v>
      </c>
    </row>
    <row r="27" spans="1:4" ht="26.25" customHeight="1">
      <c r="A27" s="18" t="s">
        <v>142</v>
      </c>
      <c r="B27" s="23"/>
    </row>
    <row r="28" spans="1:4">
      <c r="A28" s="20" t="s">
        <v>143</v>
      </c>
      <c r="B28" s="21">
        <v>7290000</v>
      </c>
      <c r="C28" s="25"/>
      <c r="D28" s="26"/>
    </row>
    <row r="29" spans="1:4">
      <c r="A29" s="20" t="s">
        <v>144</v>
      </c>
      <c r="B29" s="24">
        <v>-552123.23959999997</v>
      </c>
      <c r="D29" s="26"/>
    </row>
    <row r="30" spans="1:4">
      <c r="A30" s="20" t="s">
        <v>145</v>
      </c>
      <c r="B30" s="27"/>
    </row>
    <row r="31" spans="1:4">
      <c r="A31" s="18" t="s">
        <v>146</v>
      </c>
      <c r="B31" s="388">
        <v>6737876.7604</v>
      </c>
    </row>
    <row r="32" spans="1:4">
      <c r="A32" s="18" t="s">
        <v>147</v>
      </c>
      <c r="B32" s="388">
        <v>19140443.210000001</v>
      </c>
    </row>
    <row r="33" spans="1:2">
      <c r="A33" s="28"/>
      <c r="B33" s="29"/>
    </row>
    <row r="34" spans="1:2">
      <c r="B34" s="25">
        <v>-9.9999979138374329E-3</v>
      </c>
    </row>
    <row r="40" spans="1:2" ht="17.5">
      <c r="A40" s="466" t="s">
        <v>124</v>
      </c>
      <c r="B40" s="467"/>
    </row>
    <row r="41" spans="1:2" ht="17.5">
      <c r="A41" s="466" t="s">
        <v>148</v>
      </c>
      <c r="B41" s="467"/>
    </row>
    <row r="42" spans="1:2" ht="15">
      <c r="A42" s="464" t="s">
        <v>463</v>
      </c>
      <c r="B42" s="465"/>
    </row>
    <row r="45" spans="1:2">
      <c r="A45" s="30" t="s">
        <v>149</v>
      </c>
    </row>
    <row r="46" spans="1:2">
      <c r="A46" s="20" t="s">
        <v>150</v>
      </c>
      <c r="B46" s="31">
        <v>101104.75</v>
      </c>
    </row>
    <row r="47" spans="1:2">
      <c r="A47" s="20" t="s">
        <v>151</v>
      </c>
      <c r="B47" s="32">
        <v>485533.47</v>
      </c>
    </row>
    <row r="48" spans="1:2">
      <c r="A48" s="30" t="s">
        <v>152</v>
      </c>
      <c r="B48" s="33">
        <v>586638.22</v>
      </c>
    </row>
    <row r="49" spans="1:4">
      <c r="B49" s="31"/>
    </row>
    <row r="50" spans="1:4">
      <c r="A50" s="15" t="s">
        <v>153</v>
      </c>
      <c r="B50" s="31">
        <v>-344000</v>
      </c>
    </row>
    <row r="51" spans="1:4">
      <c r="A51" s="15" t="s">
        <v>154</v>
      </c>
      <c r="B51" s="31">
        <v>-575</v>
      </c>
    </row>
    <row r="52" spans="1:4">
      <c r="A52" s="15" t="s">
        <v>155</v>
      </c>
      <c r="B52" s="31">
        <v>-113505.01</v>
      </c>
    </row>
    <row r="53" spans="1:4">
      <c r="A53" s="15" t="s">
        <v>156</v>
      </c>
      <c r="B53" s="31">
        <v>-100000</v>
      </c>
    </row>
    <row r="54" spans="1:4">
      <c r="A54" s="15" t="s">
        <v>174</v>
      </c>
      <c r="B54" s="31">
        <v>-60248.220000000008</v>
      </c>
    </row>
    <row r="55" spans="1:4">
      <c r="A55" s="15" t="s">
        <v>157</v>
      </c>
      <c r="B55" s="31">
        <v>-70065.009999999995</v>
      </c>
    </row>
    <row r="56" spans="1:4">
      <c r="A56" s="15" t="s">
        <v>158</v>
      </c>
      <c r="B56" s="31">
        <v>-34448</v>
      </c>
    </row>
    <row r="57" spans="1:4">
      <c r="A57" s="15" t="s">
        <v>159</v>
      </c>
      <c r="B57" s="31">
        <v>-114345.58</v>
      </c>
      <c r="D57" s="31"/>
    </row>
    <row r="58" spans="1:4">
      <c r="A58" s="15" t="s">
        <v>160</v>
      </c>
      <c r="B58" s="34">
        <v>-13210</v>
      </c>
    </row>
    <row r="59" spans="1:4">
      <c r="A59" s="30" t="s">
        <v>161</v>
      </c>
      <c r="B59" s="34"/>
    </row>
    <row r="60" spans="1:4">
      <c r="B60" s="34"/>
    </row>
    <row r="61" spans="1:4">
      <c r="A61" s="15" t="s">
        <v>162</v>
      </c>
      <c r="B61" s="35"/>
    </row>
    <row r="62" spans="1:4" ht="27.75" customHeight="1">
      <c r="A62" s="30" t="s">
        <v>163</v>
      </c>
      <c r="B62" s="36">
        <v>-263758.60000000003</v>
      </c>
    </row>
    <row r="63" spans="1:4">
      <c r="A63" s="15" t="s">
        <v>164</v>
      </c>
      <c r="B63" s="31">
        <v>16082.439999999999</v>
      </c>
    </row>
    <row r="64" spans="1:4">
      <c r="A64" s="15" t="s">
        <v>386</v>
      </c>
      <c r="B64" s="31">
        <v>-287481.82</v>
      </c>
    </row>
    <row r="65" spans="1:4">
      <c r="A65" s="15" t="s">
        <v>388</v>
      </c>
      <c r="B65" s="31">
        <v>-8555.0595999999987</v>
      </c>
      <c r="D65" s="31"/>
    </row>
    <row r="66" spans="1:4">
      <c r="A66" s="15" t="s">
        <v>166</v>
      </c>
      <c r="B66" s="31">
        <v>-8410.2000000000007</v>
      </c>
    </row>
    <row r="67" spans="1:4">
      <c r="A67" s="15" t="s">
        <v>167</v>
      </c>
      <c r="B67" s="32"/>
    </row>
    <row r="68" spans="1:4">
      <c r="A68" s="30" t="s">
        <v>168</v>
      </c>
      <c r="B68" s="33">
        <v>-552123.23959999997</v>
      </c>
    </row>
    <row r="69" spans="1:4" ht="26.25" customHeight="1">
      <c r="A69" s="15" t="s">
        <v>169</v>
      </c>
      <c r="B69" s="32"/>
    </row>
    <row r="70" spans="1:4">
      <c r="A70" s="30" t="s">
        <v>170</v>
      </c>
      <c r="B70" s="33">
        <v>-552123.23959999997</v>
      </c>
    </row>
    <row r="72" spans="1:4">
      <c r="B72" s="31"/>
    </row>
    <row r="73" spans="1:4">
      <c r="A73" s="30"/>
      <c r="B73" s="33"/>
    </row>
    <row r="75" spans="1:4">
      <c r="A75" s="37"/>
      <c r="B75" s="31"/>
    </row>
    <row r="76" spans="1:4">
      <c r="A76" s="38"/>
      <c r="B76" s="33"/>
    </row>
  </sheetData>
  <mergeCells count="6">
    <mergeCell ref="A41:B41"/>
    <mergeCell ref="A42:B42"/>
    <mergeCell ref="A1:B1"/>
    <mergeCell ref="A2:B2"/>
    <mergeCell ref="A3:B3"/>
    <mergeCell ref="A40:B40"/>
  </mergeCells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="140" zoomScaleNormal="140" workbookViewId="0">
      <selection activeCell="C6" sqref="C6"/>
    </sheetView>
  </sheetViews>
  <sheetFormatPr defaultRowHeight="14"/>
  <cols>
    <col min="1" max="1" width="29" bestFit="1" customWidth="1"/>
    <col min="2" max="2" width="15.58203125" bestFit="1" customWidth="1"/>
    <col min="3" max="4" width="12.75" bestFit="1" customWidth="1"/>
  </cols>
  <sheetData>
    <row r="1" spans="1:4">
      <c r="A1" t="s">
        <v>374</v>
      </c>
    </row>
    <row r="2" spans="1:4">
      <c r="A2" t="s">
        <v>375</v>
      </c>
      <c r="B2" s="384">
        <v>12180000</v>
      </c>
    </row>
    <row r="3" spans="1:4">
      <c r="A3" t="s">
        <v>376</v>
      </c>
      <c r="B3" s="385">
        <v>5.8599999999999999E-2</v>
      </c>
    </row>
    <row r="5" spans="1:4">
      <c r="A5" t="s">
        <v>377</v>
      </c>
      <c r="B5" s="384">
        <v>61461.63</v>
      </c>
    </row>
    <row r="6" spans="1:4">
      <c r="A6" t="s">
        <v>378</v>
      </c>
      <c r="B6" s="384">
        <v>19552.84</v>
      </c>
      <c r="C6" s="387">
        <f>B6*12</f>
        <v>234634.08000000002</v>
      </c>
      <c r="D6" s="387"/>
    </row>
    <row r="7" spans="1:4">
      <c r="A7" t="s">
        <v>379</v>
      </c>
      <c r="B7" s="384">
        <v>10443.02</v>
      </c>
    </row>
    <row r="8" spans="1:4">
      <c r="A8" t="s">
        <v>380</v>
      </c>
      <c r="B8" s="386">
        <v>1708.33</v>
      </c>
      <c r="D8" s="387"/>
    </row>
    <row r="9" spans="1:4">
      <c r="A9" t="s">
        <v>385</v>
      </c>
      <c r="B9" s="387">
        <f>SUM(B5:B8)</f>
        <v>93165.82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showWhiteSpace="0" workbookViewId="0">
      <selection activeCell="A84" sqref="A84"/>
    </sheetView>
  </sheetViews>
  <sheetFormatPr defaultRowHeight="14"/>
  <cols>
    <col min="1" max="1" width="74.33203125" bestFit="1" customWidth="1"/>
    <col min="2" max="2" width="39" bestFit="1" customWidth="1"/>
    <col min="4" max="4" width="18.33203125" bestFit="1" customWidth="1"/>
  </cols>
  <sheetData>
    <row r="1" spans="1:2" ht="23">
      <c r="A1" s="472" t="s">
        <v>0</v>
      </c>
      <c r="B1" s="472"/>
    </row>
    <row r="2" spans="1:2" ht="16.5">
      <c r="A2" s="473" t="s">
        <v>480</v>
      </c>
      <c r="B2" s="473"/>
    </row>
    <row r="3" spans="1:2" ht="16.5">
      <c r="A3" s="473" t="s">
        <v>3</v>
      </c>
      <c r="B3" s="473"/>
    </row>
    <row r="4" spans="1:2" ht="16.5">
      <c r="A4" s="473" t="s">
        <v>4</v>
      </c>
      <c r="B4" s="473"/>
    </row>
    <row r="5" spans="1:2" ht="16.5">
      <c r="A5" s="473" t="s">
        <v>5</v>
      </c>
      <c r="B5" s="473"/>
    </row>
    <row r="6" spans="1:2">
      <c r="A6" s="469"/>
      <c r="B6" s="469"/>
    </row>
    <row r="7" spans="1:2" ht="16.5">
      <c r="A7" s="1" t="s">
        <v>6</v>
      </c>
      <c r="B7" s="1" t="s">
        <v>8</v>
      </c>
    </row>
    <row r="8" spans="1:2" ht="15.5">
      <c r="A8" s="3" t="s">
        <v>9</v>
      </c>
      <c r="B8" s="8"/>
    </row>
    <row r="9" spans="1:2" ht="15.5">
      <c r="A9" s="3" t="s">
        <v>10</v>
      </c>
      <c r="B9" s="8"/>
    </row>
    <row r="10" spans="1:2" ht="15.5">
      <c r="A10" s="3" t="s">
        <v>11</v>
      </c>
      <c r="B10" s="8"/>
    </row>
    <row r="11" spans="1:2" ht="15.5">
      <c r="A11" s="2" t="s">
        <v>12</v>
      </c>
      <c r="B11" s="9">
        <f>-'[5]TB Combined'!H25</f>
        <v>448013.01</v>
      </c>
    </row>
    <row r="12" spans="1:2" ht="15.5">
      <c r="A12" s="2" t="s">
        <v>13</v>
      </c>
      <c r="B12" s="9">
        <f>-'[5]TB Combined'!H26</f>
        <v>3933</v>
      </c>
    </row>
    <row r="13" spans="1:2" ht="15.5">
      <c r="A13" s="2" t="s">
        <v>14</v>
      </c>
      <c r="B13" s="9">
        <f>-'[5]TB Combined'!H27</f>
        <v>-954.85</v>
      </c>
    </row>
    <row r="14" spans="1:2" ht="15.5">
      <c r="A14" s="3" t="s">
        <v>15</v>
      </c>
      <c r="B14" s="10">
        <f>SUM(B11:B13)</f>
        <v>450991.16000000003</v>
      </c>
    </row>
    <row r="15" spans="1:2" ht="15.5">
      <c r="A15" s="3" t="s">
        <v>16</v>
      </c>
      <c r="B15" s="8"/>
    </row>
    <row r="16" spans="1:2" ht="15.5">
      <c r="A16" s="2" t="s">
        <v>17</v>
      </c>
      <c r="B16" s="9">
        <f>-'[5]TB Combined'!H28</f>
        <v>519.75</v>
      </c>
    </row>
    <row r="17" spans="1:2" ht="15.5">
      <c r="A17" s="2" t="s">
        <v>18</v>
      </c>
      <c r="B17" s="9">
        <f>-'[5]TB Combined'!H29</f>
        <v>1435.46</v>
      </c>
    </row>
    <row r="18" spans="1:2" ht="15.5">
      <c r="A18" s="2" t="s">
        <v>19</v>
      </c>
      <c r="B18" s="9">
        <f>-'[5]TB Combined'!H30</f>
        <v>113.4</v>
      </c>
    </row>
    <row r="19" spans="1:2" ht="15.5">
      <c r="A19" s="2" t="s">
        <v>20</v>
      </c>
      <c r="B19" s="9">
        <f>-'[5]TB Combined'!H31</f>
        <v>382.5</v>
      </c>
    </row>
    <row r="20" spans="1:2" ht="15.5">
      <c r="A20" s="2" t="s">
        <v>21</v>
      </c>
      <c r="B20" s="9">
        <f>-'[5]TB Combined'!H32</f>
        <v>2661.86</v>
      </c>
    </row>
    <row r="21" spans="1:2" ht="15.5">
      <c r="A21" s="2" t="s">
        <v>22</v>
      </c>
      <c r="B21" s="9">
        <f>-'[5]TB Combined'!H33</f>
        <v>30</v>
      </c>
    </row>
    <row r="22" spans="1:2" ht="15.5">
      <c r="A22" s="2" t="s">
        <v>23</v>
      </c>
      <c r="B22" s="9">
        <f>-'[5]TB Combined'!H34</f>
        <v>2250</v>
      </c>
    </row>
    <row r="23" spans="1:2" ht="15.5">
      <c r="A23" s="2" t="s">
        <v>24</v>
      </c>
      <c r="B23" s="9">
        <f>-'[5]TB Combined'!H35</f>
        <v>3770.55</v>
      </c>
    </row>
    <row r="24" spans="1:2" ht="15.5">
      <c r="A24" s="2" t="s">
        <v>25</v>
      </c>
      <c r="B24" s="9">
        <f>-'[5]TB Combined'!H36</f>
        <v>4154.7299999999996</v>
      </c>
    </row>
    <row r="25" spans="1:2" ht="15.5">
      <c r="A25" s="2" t="s">
        <v>26</v>
      </c>
      <c r="B25" s="9">
        <f>-'[5]TB Combined'!H37</f>
        <v>11881.92</v>
      </c>
    </row>
    <row r="26" spans="1:2" ht="15.5">
      <c r="A26" s="2" t="s">
        <v>27</v>
      </c>
      <c r="B26" s="9">
        <f>-'[5]TB Combined'!H38</f>
        <v>-3823.65</v>
      </c>
    </row>
    <row r="27" spans="1:2" ht="15.5">
      <c r="A27" s="3" t="s">
        <v>28</v>
      </c>
      <c r="B27" s="10">
        <f>SUM(B16:B26)</f>
        <v>23376.519999999997</v>
      </c>
    </row>
    <row r="28" spans="1:2" ht="15.5">
      <c r="A28" s="2" t="s">
        <v>29</v>
      </c>
      <c r="B28" s="9">
        <f>-'[5]TB Combined'!H39</f>
        <v>7410</v>
      </c>
    </row>
    <row r="29" spans="1:2" ht="15.5">
      <c r="A29" s="2" t="s">
        <v>30</v>
      </c>
      <c r="B29" s="9">
        <f>-'[5]TB Combined'!H40</f>
        <v>272.32</v>
      </c>
    </row>
    <row r="30" spans="1:2" ht="15.5">
      <c r="A30" s="2" t="s">
        <v>31</v>
      </c>
      <c r="B30" s="9">
        <f>-'[5]TB Combined'!H41</f>
        <v>286.25</v>
      </c>
    </row>
    <row r="31" spans="1:2" ht="15.5">
      <c r="A31" s="2" t="s">
        <v>32</v>
      </c>
      <c r="B31" s="9">
        <f>-'[5]TB Combined'!H42</f>
        <v>1008.75</v>
      </c>
    </row>
    <row r="32" spans="1:2" ht="15.5">
      <c r="A32" s="3" t="s">
        <v>33</v>
      </c>
      <c r="B32" s="10">
        <f>SUM(B27:B31)+B14</f>
        <v>483345</v>
      </c>
    </row>
    <row r="33" spans="1:2" ht="15.5">
      <c r="A33" s="3" t="s">
        <v>34</v>
      </c>
      <c r="B33" s="8"/>
    </row>
    <row r="34" spans="1:2" ht="15.5">
      <c r="A34" s="3" t="s">
        <v>35</v>
      </c>
      <c r="B34" s="8"/>
    </row>
    <row r="35" spans="1:2" ht="15.5">
      <c r="A35" s="2" t="s">
        <v>36</v>
      </c>
      <c r="B35" s="9">
        <f>'[5]TB Combined'!H43</f>
        <v>244.91</v>
      </c>
    </row>
    <row r="36" spans="1:2" ht="15.5">
      <c r="A36" s="2" t="s">
        <v>37</v>
      </c>
      <c r="B36" s="9">
        <f>'[5]TB Combined'!H44</f>
        <v>4439.29</v>
      </c>
    </row>
    <row r="37" spans="1:2" ht="15.5">
      <c r="A37" s="3" t="s">
        <v>38</v>
      </c>
      <c r="B37" s="10">
        <f>SUM(B35:B36)</f>
        <v>4684.2</v>
      </c>
    </row>
    <row r="38" spans="1:2" ht="15.5">
      <c r="A38" s="2" t="s">
        <v>39</v>
      </c>
      <c r="B38" s="9">
        <f>'[5]TB Combined'!H45</f>
        <v>680.35</v>
      </c>
    </row>
    <row r="39" spans="1:2" ht="15.5">
      <c r="A39" s="3" t="s">
        <v>40</v>
      </c>
      <c r="B39" s="8"/>
    </row>
    <row r="40" spans="1:2" ht="15.5">
      <c r="A40" s="2" t="s">
        <v>41</v>
      </c>
      <c r="B40" s="9">
        <f>'[5]TB Combined'!H46</f>
        <v>270</v>
      </c>
    </row>
    <row r="41" spans="1:2" ht="15.5">
      <c r="A41" s="2" t="s">
        <v>42</v>
      </c>
      <c r="B41" s="9">
        <f>'[5]TB Combined'!H47</f>
        <v>1475.76</v>
      </c>
    </row>
    <row r="42" spans="1:2" ht="15.5">
      <c r="A42" s="2" t="s">
        <v>43</v>
      </c>
      <c r="B42" s="9">
        <f>'[5]TB Combined'!H48</f>
        <v>21.21</v>
      </c>
    </row>
    <row r="43" spans="1:2" ht="15.5">
      <c r="A43" s="2" t="s">
        <v>44</v>
      </c>
      <c r="B43" s="9">
        <f>'[5]TB Combined'!H49</f>
        <v>4353</v>
      </c>
    </row>
    <row r="44" spans="1:2" ht="15.5">
      <c r="A44" s="3" t="s">
        <v>45</v>
      </c>
      <c r="B44" s="10">
        <f>SUM(B40:B43)</f>
        <v>6119.97</v>
      </c>
    </row>
    <row r="45" spans="1:2" ht="15.5">
      <c r="A45" s="3" t="s">
        <v>46</v>
      </c>
      <c r="B45" s="8"/>
    </row>
    <row r="46" spans="1:2" ht="15.5">
      <c r="A46" s="2" t="s">
        <v>47</v>
      </c>
      <c r="B46" s="9">
        <f>'[5]TB Combined'!H50</f>
        <v>756.48</v>
      </c>
    </row>
    <row r="47" spans="1:2" ht="15.5">
      <c r="A47" s="3" t="s">
        <v>48</v>
      </c>
      <c r="B47" s="10">
        <f>SUM(B46)</f>
        <v>756.48</v>
      </c>
    </row>
    <row r="48" spans="1:2" ht="15.5">
      <c r="A48" s="3" t="s">
        <v>49</v>
      </c>
      <c r="B48" s="8"/>
    </row>
    <row r="49" spans="1:2" ht="15.5">
      <c r="A49" s="3" t="s">
        <v>50</v>
      </c>
      <c r="B49" s="8"/>
    </row>
    <row r="50" spans="1:2" ht="15.5">
      <c r="A50" s="2" t="s">
        <v>51</v>
      </c>
      <c r="B50" s="9">
        <f>'[5]TB Combined'!H51</f>
        <v>3147.5</v>
      </c>
    </row>
    <row r="51" spans="1:2" ht="15.5">
      <c r="A51" s="3" t="s">
        <v>52</v>
      </c>
      <c r="B51" s="10">
        <f>SUM(B50)</f>
        <v>3147.5</v>
      </c>
    </row>
    <row r="52" spans="1:2" ht="15.5">
      <c r="A52" s="2" t="s">
        <v>53</v>
      </c>
      <c r="B52" s="9">
        <f>'[5]TB Combined'!H52</f>
        <v>17546.05</v>
      </c>
    </row>
    <row r="53" spans="1:2" ht="15.5">
      <c r="A53" s="3" t="s">
        <v>54</v>
      </c>
      <c r="B53" s="10">
        <f>SUM(B51:B52)</f>
        <v>20693.55</v>
      </c>
    </row>
    <row r="54" spans="1:2" ht="15.5">
      <c r="A54" s="3" t="s">
        <v>55</v>
      </c>
      <c r="B54" s="8"/>
    </row>
    <row r="55" spans="1:2" ht="15.5">
      <c r="A55" s="2" t="s">
        <v>56</v>
      </c>
      <c r="B55" s="9">
        <f>'[5]TB Combined'!H53</f>
        <v>1500</v>
      </c>
    </row>
    <row r="56" spans="1:2" ht="15.5">
      <c r="A56" s="2" t="s">
        <v>57</v>
      </c>
      <c r="B56" s="9">
        <f>'[5]TB Combined'!H54</f>
        <v>2691.96</v>
      </c>
    </row>
    <row r="57" spans="1:2" ht="15.5">
      <c r="A57" s="2" t="s">
        <v>58</v>
      </c>
      <c r="B57" s="9">
        <f>'[5]TB Combined'!H55</f>
        <v>8135.11</v>
      </c>
    </row>
    <row r="58" spans="1:2" ht="15.5">
      <c r="A58" s="2" t="s">
        <v>59</v>
      </c>
      <c r="B58" s="9">
        <f>'[5]TB Combined'!H56</f>
        <v>376</v>
      </c>
    </row>
    <row r="59" spans="1:2" ht="15.5">
      <c r="A59" s="2" t="s">
        <v>60</v>
      </c>
      <c r="B59" s="9">
        <f>'[5]TB Combined'!H57</f>
        <v>24201.54</v>
      </c>
    </row>
    <row r="60" spans="1:2" ht="15.5">
      <c r="A60" s="2" t="s">
        <v>61</v>
      </c>
      <c r="B60" s="9">
        <f>'[5]TB Combined'!H58</f>
        <v>341.33</v>
      </c>
    </row>
    <row r="61" spans="1:2" ht="15.5">
      <c r="A61" s="3" t="s">
        <v>62</v>
      </c>
      <c r="B61" s="10">
        <f>SUM(B55:B60)</f>
        <v>37245.94</v>
      </c>
    </row>
    <row r="62" spans="1:2" ht="15.5">
      <c r="A62" s="3" t="s">
        <v>63</v>
      </c>
      <c r="B62" s="8"/>
    </row>
    <row r="63" spans="1:2" ht="15.5">
      <c r="A63" s="2" t="s">
        <v>64</v>
      </c>
      <c r="B63" s="9">
        <f>'[5]TB Combined'!H59</f>
        <v>4070</v>
      </c>
    </row>
    <row r="64" spans="1:2" ht="15.5">
      <c r="A64" s="2" t="s">
        <v>65</v>
      </c>
      <c r="B64" s="9">
        <f>'[5]TB Combined'!H60</f>
        <v>16128.26</v>
      </c>
    </row>
    <row r="65" spans="1:4" ht="15.5">
      <c r="A65" s="2" t="s">
        <v>66</v>
      </c>
      <c r="B65" s="9">
        <f>'[5]TB Combined'!H61</f>
        <v>9007.33</v>
      </c>
    </row>
    <row r="66" spans="1:4" ht="15.5">
      <c r="A66" s="3" t="s">
        <v>67</v>
      </c>
      <c r="B66" s="10">
        <f>SUM(B63:B65)</f>
        <v>29205.590000000004</v>
      </c>
    </row>
    <row r="67" spans="1:4" ht="15.5">
      <c r="A67" s="3" t="s">
        <v>68</v>
      </c>
      <c r="B67" s="8"/>
    </row>
    <row r="68" spans="1:4" ht="15.5">
      <c r="A68" s="2" t="s">
        <v>69</v>
      </c>
      <c r="B68" s="9">
        <f>'[5]TB Combined'!H62</f>
        <v>792</v>
      </c>
    </row>
    <row r="69" spans="1:4" ht="15.5">
      <c r="A69" s="2" t="s">
        <v>70</v>
      </c>
      <c r="B69" s="9">
        <f>'[5]TB Combined'!H63</f>
        <v>244.71</v>
      </c>
    </row>
    <row r="70" spans="1:4" ht="15.5">
      <c r="A70" s="2" t="s">
        <v>71</v>
      </c>
      <c r="B70" s="9">
        <f>'[5]TB Combined'!H64</f>
        <v>750</v>
      </c>
    </row>
    <row r="71" spans="1:4" ht="15.5">
      <c r="A71" s="2" t="s">
        <v>72</v>
      </c>
      <c r="B71" s="9">
        <f>'[5]TB Combined'!H65</f>
        <v>2438.59</v>
      </c>
    </row>
    <row r="72" spans="1:4" ht="15.5">
      <c r="A72" s="3" t="s">
        <v>73</v>
      </c>
      <c r="B72" s="10">
        <f>SUM(B68:B71)</f>
        <v>4225.3</v>
      </c>
    </row>
    <row r="73" spans="1:4" ht="15.5">
      <c r="A73" s="2" t="s">
        <v>74</v>
      </c>
      <c r="B73" s="9">
        <f>'[5]TB Combined'!H66</f>
        <v>2617.5</v>
      </c>
    </row>
    <row r="74" spans="1:4" ht="15.5">
      <c r="A74" s="2" t="s">
        <v>191</v>
      </c>
      <c r="B74" s="9">
        <f>'[5]TB Combined'!H67</f>
        <v>30124.11</v>
      </c>
    </row>
    <row r="75" spans="1:4" ht="15.5">
      <c r="A75" s="2" t="s">
        <v>192</v>
      </c>
      <c r="B75" s="9">
        <f>'[5]TB Combined'!H68</f>
        <v>57172.790000000008</v>
      </c>
    </row>
    <row r="76" spans="1:4" ht="15.5">
      <c r="A76" s="3" t="s">
        <v>75</v>
      </c>
      <c r="B76" s="10">
        <f>B73+B72+B66+B61+B53+B47+B44+B37+B38+B74+B75</f>
        <v>193525.78000000003</v>
      </c>
      <c r="D76" s="42"/>
    </row>
    <row r="77" spans="1:4" ht="15.5">
      <c r="A77" s="2"/>
      <c r="B77" s="9"/>
    </row>
    <row r="78" spans="1:4" ht="15.5">
      <c r="A78" s="3" t="s">
        <v>76</v>
      </c>
      <c r="B78" s="8">
        <f>B32-B76</f>
        <v>289819.21999999997</v>
      </c>
    </row>
    <row r="79" spans="1:4" ht="15.5">
      <c r="A79" s="2" t="s">
        <v>437</v>
      </c>
      <c r="B79" s="421">
        <f>-'[5]TB Combined'!H82</f>
        <v>-105079.56</v>
      </c>
    </row>
    <row r="80" spans="1:4" ht="15.5">
      <c r="A80" s="405" t="s">
        <v>438</v>
      </c>
      <c r="B80" s="406">
        <f>SUM(B78:B79)</f>
        <v>184739.65999999997</v>
      </c>
    </row>
    <row r="81" spans="1:2" ht="15.5">
      <c r="A81" s="2"/>
      <c r="B81" s="9"/>
    </row>
  </sheetData>
  <mergeCells count="6">
    <mergeCell ref="A6:B6"/>
    <mergeCell ref="A1:B1"/>
    <mergeCell ref="A2:B2"/>
    <mergeCell ref="A3:B3"/>
    <mergeCell ref="A4:B4"/>
    <mergeCell ref="A5:B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"/>
  <sheetViews>
    <sheetView showWhiteSpace="0" workbookViewId="0">
      <selection activeCell="D114" sqref="D114"/>
    </sheetView>
  </sheetViews>
  <sheetFormatPr defaultRowHeight="14"/>
  <cols>
    <col min="1" max="1" width="44.5" bestFit="1" customWidth="1"/>
    <col min="2" max="2" width="35.08203125" bestFit="1" customWidth="1"/>
    <col min="3" max="3" width="44.83203125" bestFit="1" customWidth="1"/>
    <col min="4" max="4" width="42.9140625" bestFit="1" customWidth="1"/>
    <col min="5" max="5" width="52.6640625" bestFit="1" customWidth="1"/>
  </cols>
  <sheetData>
    <row r="1" spans="1:5" ht="23">
      <c r="A1" s="472" t="s">
        <v>178</v>
      </c>
      <c r="B1" s="472"/>
      <c r="C1" s="472"/>
      <c r="D1" s="472"/>
      <c r="E1" s="472"/>
    </row>
    <row r="2" spans="1:5">
      <c r="A2" s="469" t="s">
        <v>193</v>
      </c>
      <c r="B2" s="469"/>
      <c r="C2" s="469"/>
      <c r="D2" s="469"/>
      <c r="E2" s="469"/>
    </row>
    <row r="3" spans="1:5">
      <c r="A3" s="469"/>
      <c r="B3" s="469"/>
      <c r="C3" s="469"/>
      <c r="D3" s="469"/>
      <c r="E3" s="469"/>
    </row>
    <row r="4" spans="1:5" ht="16.5">
      <c r="A4" s="473" t="s">
        <v>1</v>
      </c>
      <c r="B4" s="473"/>
      <c r="C4" s="473"/>
      <c r="D4" s="473"/>
      <c r="E4" s="473"/>
    </row>
    <row r="5" spans="1:5" ht="16.5">
      <c r="A5" s="473" t="s">
        <v>2</v>
      </c>
      <c r="B5" s="473"/>
      <c r="C5" s="473"/>
      <c r="D5" s="473"/>
      <c r="E5" s="473"/>
    </row>
    <row r="6" spans="1:5" ht="16.5">
      <c r="A6" s="473" t="s">
        <v>194</v>
      </c>
      <c r="B6" s="473"/>
      <c r="C6" s="473"/>
      <c r="D6" s="473"/>
      <c r="E6" s="473"/>
    </row>
    <row r="7" spans="1:5" ht="16.5">
      <c r="A7" s="473" t="s">
        <v>3</v>
      </c>
      <c r="B7" s="473"/>
      <c r="C7" s="473"/>
      <c r="D7" s="473"/>
      <c r="E7" s="473"/>
    </row>
    <row r="8" spans="1:5" ht="16.5">
      <c r="A8" s="473" t="s">
        <v>195</v>
      </c>
      <c r="B8" s="473"/>
      <c r="C8" s="473"/>
      <c r="D8" s="473"/>
      <c r="E8" s="473"/>
    </row>
    <row r="9" spans="1:5" ht="16.5">
      <c r="A9" s="473" t="s">
        <v>4</v>
      </c>
      <c r="B9" s="473"/>
      <c r="C9" s="473"/>
      <c r="D9" s="473"/>
      <c r="E9" s="473"/>
    </row>
    <row r="10" spans="1:5" ht="16.5">
      <c r="A10" s="473" t="s">
        <v>5</v>
      </c>
      <c r="B10" s="473"/>
      <c r="C10" s="473"/>
      <c r="D10" s="473"/>
      <c r="E10" s="473"/>
    </row>
    <row r="11" spans="1:5">
      <c r="A11" s="469"/>
      <c r="B11" s="469"/>
      <c r="C11" s="469"/>
      <c r="D11" s="469"/>
      <c r="E11" s="469"/>
    </row>
    <row r="12" spans="1:5" ht="16.5">
      <c r="A12" s="1" t="s">
        <v>6</v>
      </c>
      <c r="B12" s="1" t="s">
        <v>179</v>
      </c>
      <c r="C12" s="1" t="s">
        <v>196</v>
      </c>
      <c r="D12" s="1" t="s">
        <v>180</v>
      </c>
      <c r="E12" s="1" t="s">
        <v>197</v>
      </c>
    </row>
    <row r="13" spans="1:5" ht="15.5">
      <c r="A13" s="3" t="s">
        <v>9</v>
      </c>
      <c r="B13" s="8"/>
      <c r="C13" s="8"/>
      <c r="D13" s="8"/>
      <c r="E13" s="8"/>
    </row>
    <row r="14" spans="1:5" ht="15.5">
      <c r="A14" s="3" t="s">
        <v>10</v>
      </c>
      <c r="B14" s="8"/>
      <c r="C14" s="8"/>
      <c r="D14" s="8"/>
      <c r="E14" s="8"/>
    </row>
    <row r="15" spans="1:5" ht="15.5">
      <c r="A15" s="3" t="s">
        <v>11</v>
      </c>
      <c r="B15" s="8"/>
      <c r="C15" s="8"/>
      <c r="D15" s="8"/>
      <c r="E15" s="8"/>
    </row>
    <row r="16" spans="1:5" ht="15.5">
      <c r="A16" s="2" t="s">
        <v>12</v>
      </c>
      <c r="B16" s="9">
        <v>346908.26</v>
      </c>
      <c r="C16" s="9">
        <v>90.76</v>
      </c>
      <c r="D16" s="9">
        <v>346908.26</v>
      </c>
      <c r="E16" s="9">
        <v>90.76</v>
      </c>
    </row>
    <row r="17" spans="1:5" ht="15.5">
      <c r="A17" s="2" t="s">
        <v>13</v>
      </c>
      <c r="B17" s="9">
        <v>3933</v>
      </c>
      <c r="C17" s="9">
        <v>1.03</v>
      </c>
      <c r="D17" s="9">
        <v>3933</v>
      </c>
      <c r="E17" s="9">
        <v>1.03</v>
      </c>
    </row>
    <row r="18" spans="1:5" ht="15.5">
      <c r="A18" s="2" t="s">
        <v>14</v>
      </c>
      <c r="B18" s="9">
        <v>-954.85</v>
      </c>
      <c r="C18" s="9">
        <v>-0.25</v>
      </c>
      <c r="D18" s="9">
        <v>-954.85</v>
      </c>
      <c r="E18" s="9">
        <v>-0.25</v>
      </c>
    </row>
    <row r="19" spans="1:5" ht="15.5">
      <c r="A19" s="3" t="s">
        <v>15</v>
      </c>
      <c r="B19" s="10">
        <v>349886.41</v>
      </c>
      <c r="C19" s="10">
        <v>91.54</v>
      </c>
      <c r="D19" s="10">
        <v>349886.41</v>
      </c>
      <c r="E19" s="10">
        <v>91.54</v>
      </c>
    </row>
    <row r="20" spans="1:5" ht="15.5">
      <c r="A20" s="3" t="s">
        <v>16</v>
      </c>
      <c r="B20" s="8"/>
      <c r="C20" s="8"/>
      <c r="D20" s="8"/>
      <c r="E20" s="8"/>
    </row>
    <row r="21" spans="1:5" ht="15.5">
      <c r="A21" s="2" t="s">
        <v>17</v>
      </c>
      <c r="B21" s="9">
        <v>519.75</v>
      </c>
      <c r="C21" s="9">
        <v>0.14000000000000001</v>
      </c>
      <c r="D21" s="9">
        <v>519.75</v>
      </c>
      <c r="E21" s="9">
        <v>0.14000000000000001</v>
      </c>
    </row>
    <row r="22" spans="1:5" ht="15.5">
      <c r="A22" s="2" t="s">
        <v>18</v>
      </c>
      <c r="B22" s="9">
        <v>1435.46</v>
      </c>
      <c r="C22" s="9">
        <v>0.38</v>
      </c>
      <c r="D22" s="9">
        <v>1435.46</v>
      </c>
      <c r="E22" s="9">
        <v>0.38</v>
      </c>
    </row>
    <row r="23" spans="1:5" ht="15.5">
      <c r="A23" s="2" t="s">
        <v>19</v>
      </c>
      <c r="B23" s="9">
        <v>113.4</v>
      </c>
      <c r="C23" s="9">
        <v>0.03</v>
      </c>
      <c r="D23" s="9">
        <v>113.4</v>
      </c>
      <c r="E23" s="9">
        <v>0.03</v>
      </c>
    </row>
    <row r="24" spans="1:5" ht="15.5">
      <c r="A24" s="2" t="s">
        <v>20</v>
      </c>
      <c r="B24" s="9">
        <v>382.5</v>
      </c>
      <c r="C24" s="9">
        <v>0.1</v>
      </c>
      <c r="D24" s="9">
        <v>382.5</v>
      </c>
      <c r="E24" s="9">
        <v>0.1</v>
      </c>
    </row>
    <row r="25" spans="1:5" ht="15.5">
      <c r="A25" s="2" t="s">
        <v>21</v>
      </c>
      <c r="B25" s="9">
        <v>2661.86</v>
      </c>
      <c r="C25" s="9">
        <v>0.7</v>
      </c>
      <c r="D25" s="9">
        <v>2661.86</v>
      </c>
      <c r="E25" s="9">
        <v>0.7</v>
      </c>
    </row>
    <row r="26" spans="1:5" ht="15.5">
      <c r="A26" s="2" t="s">
        <v>22</v>
      </c>
      <c r="B26" s="9">
        <v>30</v>
      </c>
      <c r="C26" s="9">
        <v>0.01</v>
      </c>
      <c r="D26" s="9">
        <v>30</v>
      </c>
      <c r="E26" s="9">
        <v>0.01</v>
      </c>
    </row>
    <row r="27" spans="1:5" ht="15.5">
      <c r="A27" s="2" t="s">
        <v>23</v>
      </c>
      <c r="B27" s="9">
        <v>2250</v>
      </c>
      <c r="C27" s="9">
        <v>0.59</v>
      </c>
      <c r="D27" s="9">
        <v>2250</v>
      </c>
      <c r="E27" s="9">
        <v>0.59</v>
      </c>
    </row>
    <row r="28" spans="1:5" ht="15.5">
      <c r="A28" s="2" t="s">
        <v>24</v>
      </c>
      <c r="B28" s="9">
        <v>3770.55</v>
      </c>
      <c r="C28" s="9">
        <v>0.99</v>
      </c>
      <c r="D28" s="9">
        <v>3770.55</v>
      </c>
      <c r="E28" s="9">
        <v>0.99</v>
      </c>
    </row>
    <row r="29" spans="1:5" ht="15.5">
      <c r="A29" s="2" t="s">
        <v>25</v>
      </c>
      <c r="B29" s="9">
        <v>4154.7299999999996</v>
      </c>
      <c r="C29" s="9">
        <v>1.0900000000000001</v>
      </c>
      <c r="D29" s="9">
        <v>4154.7299999999996</v>
      </c>
      <c r="E29" s="9">
        <v>1.0900000000000001</v>
      </c>
    </row>
    <row r="30" spans="1:5" ht="15.5">
      <c r="A30" s="2" t="s">
        <v>26</v>
      </c>
      <c r="B30" s="9">
        <v>11881.92</v>
      </c>
      <c r="C30" s="9">
        <v>3.11</v>
      </c>
      <c r="D30" s="9">
        <v>11881.92</v>
      </c>
      <c r="E30" s="9">
        <v>3.11</v>
      </c>
    </row>
    <row r="31" spans="1:5" ht="15.5">
      <c r="A31" s="2" t="s">
        <v>27</v>
      </c>
      <c r="B31" s="9">
        <v>-3823.65</v>
      </c>
      <c r="C31" s="9">
        <v>-1</v>
      </c>
      <c r="D31" s="9">
        <v>-3823.65</v>
      </c>
      <c r="E31" s="9">
        <v>-1</v>
      </c>
    </row>
    <row r="32" spans="1:5" ht="15.5">
      <c r="A32" s="3" t="s">
        <v>28</v>
      </c>
      <c r="B32" s="10">
        <v>23376.52</v>
      </c>
      <c r="C32" s="10">
        <v>6.12</v>
      </c>
      <c r="D32" s="10">
        <v>23376.52</v>
      </c>
      <c r="E32" s="10">
        <v>6.12</v>
      </c>
    </row>
    <row r="33" spans="1:5" ht="15.5">
      <c r="A33" s="2" t="s">
        <v>29</v>
      </c>
      <c r="B33" s="9">
        <v>7410</v>
      </c>
      <c r="C33" s="9">
        <v>1.94</v>
      </c>
      <c r="D33" s="9">
        <v>7410</v>
      </c>
      <c r="E33" s="9">
        <v>1.94</v>
      </c>
    </row>
    <row r="34" spans="1:5" ht="15.5">
      <c r="A34" s="2" t="s">
        <v>30</v>
      </c>
      <c r="B34" s="9">
        <v>272.32</v>
      </c>
      <c r="C34" s="9">
        <v>7.0000000000000007E-2</v>
      </c>
      <c r="D34" s="9">
        <v>272.32</v>
      </c>
      <c r="E34" s="9">
        <v>7.0000000000000007E-2</v>
      </c>
    </row>
    <row r="35" spans="1:5" ht="15.5">
      <c r="A35" s="2" t="s">
        <v>31</v>
      </c>
      <c r="B35" s="9">
        <v>286.25</v>
      </c>
      <c r="C35" s="9">
        <v>7.0000000000000007E-2</v>
      </c>
      <c r="D35" s="9">
        <v>286.25</v>
      </c>
      <c r="E35" s="9">
        <v>7.0000000000000007E-2</v>
      </c>
    </row>
    <row r="36" spans="1:5" ht="15.5">
      <c r="A36" s="2" t="s">
        <v>32</v>
      </c>
      <c r="B36" s="9">
        <v>1008.75</v>
      </c>
      <c r="C36" s="9">
        <v>0.26</v>
      </c>
      <c r="D36" s="9">
        <v>1008.75</v>
      </c>
      <c r="E36" s="9">
        <v>0.26</v>
      </c>
    </row>
    <row r="37" spans="1:5" ht="15.5">
      <c r="A37" s="3" t="s">
        <v>33</v>
      </c>
      <c r="B37" s="10">
        <v>382240.25</v>
      </c>
      <c r="C37" s="10">
        <v>100</v>
      </c>
      <c r="D37" s="10">
        <v>382240.25</v>
      </c>
      <c r="E37" s="10">
        <v>100</v>
      </c>
    </row>
    <row r="38" spans="1:5" ht="15.5">
      <c r="A38" s="3" t="s">
        <v>34</v>
      </c>
      <c r="B38" s="8"/>
      <c r="C38" s="8"/>
      <c r="D38" s="8"/>
      <c r="E38" s="8"/>
    </row>
    <row r="39" spans="1:5" ht="15.5">
      <c r="A39" s="3" t="s">
        <v>35</v>
      </c>
      <c r="B39" s="8"/>
      <c r="C39" s="8"/>
      <c r="D39" s="8"/>
      <c r="E39" s="8"/>
    </row>
    <row r="40" spans="1:5" ht="15.5">
      <c r="A40" s="2" t="s">
        <v>36</v>
      </c>
      <c r="B40" s="9">
        <v>244.91</v>
      </c>
      <c r="C40" s="9">
        <v>0.06</v>
      </c>
      <c r="D40" s="9">
        <v>244.91</v>
      </c>
      <c r="E40" s="9">
        <v>0.06</v>
      </c>
    </row>
    <row r="41" spans="1:5" ht="15.5">
      <c r="A41" s="2" t="s">
        <v>37</v>
      </c>
      <c r="B41" s="9">
        <v>4439.29</v>
      </c>
      <c r="C41" s="9">
        <v>1.1599999999999999</v>
      </c>
      <c r="D41" s="9">
        <v>4439.29</v>
      </c>
      <c r="E41" s="9">
        <v>1.1599999999999999</v>
      </c>
    </row>
    <row r="42" spans="1:5" ht="15.5">
      <c r="A42" s="3" t="s">
        <v>38</v>
      </c>
      <c r="B42" s="10">
        <v>4684.2</v>
      </c>
      <c r="C42" s="10">
        <v>1.23</v>
      </c>
      <c r="D42" s="10">
        <v>4684.2</v>
      </c>
      <c r="E42" s="10">
        <v>1.23</v>
      </c>
    </row>
    <row r="43" spans="1:5" ht="15.5">
      <c r="A43" s="2" t="s">
        <v>39</v>
      </c>
      <c r="B43" s="9">
        <v>680.35</v>
      </c>
      <c r="C43" s="9">
        <v>0.18</v>
      </c>
      <c r="D43" s="9">
        <v>680.35</v>
      </c>
      <c r="E43" s="9">
        <v>0.18</v>
      </c>
    </row>
    <row r="44" spans="1:5" ht="15.5">
      <c r="A44" s="3" t="s">
        <v>40</v>
      </c>
      <c r="B44" s="8"/>
      <c r="C44" s="8"/>
      <c r="D44" s="8"/>
      <c r="E44" s="8"/>
    </row>
    <row r="45" spans="1:5" ht="15.5">
      <c r="A45" s="2" t="s">
        <v>41</v>
      </c>
      <c r="B45" s="9">
        <v>270</v>
      </c>
      <c r="C45" s="9">
        <v>7.0000000000000007E-2</v>
      </c>
      <c r="D45" s="9">
        <v>270</v>
      </c>
      <c r="E45" s="9">
        <v>7.0000000000000007E-2</v>
      </c>
    </row>
    <row r="46" spans="1:5" ht="15.5">
      <c r="A46" s="2" t="s">
        <v>42</v>
      </c>
      <c r="B46" s="9">
        <v>1475.76</v>
      </c>
      <c r="C46" s="9">
        <v>0.39</v>
      </c>
      <c r="D46" s="9">
        <v>1475.76</v>
      </c>
      <c r="E46" s="9">
        <v>0.39</v>
      </c>
    </row>
    <row r="47" spans="1:5" ht="15.5">
      <c r="A47" s="2" t="s">
        <v>43</v>
      </c>
      <c r="B47" s="9">
        <v>21.21</v>
      </c>
      <c r="C47" s="9">
        <v>0.01</v>
      </c>
      <c r="D47" s="9">
        <v>21.21</v>
      </c>
      <c r="E47" s="9">
        <v>0.01</v>
      </c>
    </row>
    <row r="48" spans="1:5" ht="15.5">
      <c r="A48" s="2" t="s">
        <v>44</v>
      </c>
      <c r="B48" s="9">
        <v>4353</v>
      </c>
      <c r="C48" s="9">
        <v>1.1399999999999999</v>
      </c>
      <c r="D48" s="9">
        <v>4353</v>
      </c>
      <c r="E48" s="9">
        <v>1.1399999999999999</v>
      </c>
    </row>
    <row r="49" spans="1:5" ht="15.5">
      <c r="A49" s="3" t="s">
        <v>45</v>
      </c>
      <c r="B49" s="10">
        <v>6119.97</v>
      </c>
      <c r="C49" s="10">
        <v>1.6</v>
      </c>
      <c r="D49" s="10">
        <v>6119.97</v>
      </c>
      <c r="E49" s="10">
        <v>1.6</v>
      </c>
    </row>
    <row r="50" spans="1:5" ht="15.5">
      <c r="A50" s="3" t="s">
        <v>46</v>
      </c>
      <c r="B50" s="8"/>
      <c r="C50" s="8"/>
      <c r="D50" s="8"/>
      <c r="E50" s="8"/>
    </row>
    <row r="51" spans="1:5" ht="15.5">
      <c r="A51" s="2" t="s">
        <v>47</v>
      </c>
      <c r="B51" s="9">
        <v>756.48</v>
      </c>
      <c r="C51" s="9">
        <v>0.2</v>
      </c>
      <c r="D51" s="9">
        <v>756.48</v>
      </c>
      <c r="E51" s="9">
        <v>0.2</v>
      </c>
    </row>
    <row r="52" spans="1:5" ht="15.5">
      <c r="A52" s="3" t="s">
        <v>48</v>
      </c>
      <c r="B52" s="10">
        <v>756.48</v>
      </c>
      <c r="C52" s="10">
        <v>0.2</v>
      </c>
      <c r="D52" s="10">
        <v>756.48</v>
      </c>
      <c r="E52" s="10">
        <v>0.2</v>
      </c>
    </row>
    <row r="53" spans="1:5" ht="15.5">
      <c r="A53" s="3" t="s">
        <v>49</v>
      </c>
      <c r="B53" s="8"/>
      <c r="C53" s="8"/>
      <c r="D53" s="8"/>
      <c r="E53" s="8"/>
    </row>
    <row r="54" spans="1:5" ht="15.5">
      <c r="A54" s="3" t="s">
        <v>50</v>
      </c>
      <c r="B54" s="8"/>
      <c r="C54" s="8"/>
      <c r="D54" s="8"/>
      <c r="E54" s="8"/>
    </row>
    <row r="55" spans="1:5" ht="15.5">
      <c r="A55" s="2" t="s">
        <v>51</v>
      </c>
      <c r="B55" s="9">
        <v>3147.5</v>
      </c>
      <c r="C55" s="9">
        <v>0.82</v>
      </c>
      <c r="D55" s="9">
        <v>3147.5</v>
      </c>
      <c r="E55" s="9">
        <v>0.82</v>
      </c>
    </row>
    <row r="56" spans="1:5" ht="15.5">
      <c r="A56" s="3" t="s">
        <v>52</v>
      </c>
      <c r="B56" s="10">
        <v>3147.5</v>
      </c>
      <c r="C56" s="10">
        <v>0.82</v>
      </c>
      <c r="D56" s="10">
        <v>3147.5</v>
      </c>
      <c r="E56" s="10">
        <v>0.82</v>
      </c>
    </row>
    <row r="57" spans="1:5" ht="15.5">
      <c r="A57" s="2" t="s">
        <v>53</v>
      </c>
      <c r="B57" s="9">
        <v>17546.05</v>
      </c>
      <c r="C57" s="9">
        <v>4.59</v>
      </c>
      <c r="D57" s="9">
        <v>17546.05</v>
      </c>
      <c r="E57" s="9">
        <v>4.59</v>
      </c>
    </row>
    <row r="58" spans="1:5" ht="15.5">
      <c r="A58" s="3" t="s">
        <v>54</v>
      </c>
      <c r="B58" s="10">
        <v>20693.55</v>
      </c>
      <c r="C58" s="10">
        <v>5.41</v>
      </c>
      <c r="D58" s="10">
        <v>20693.55</v>
      </c>
      <c r="E58" s="10">
        <v>5.41</v>
      </c>
    </row>
    <row r="59" spans="1:5" ht="15.5">
      <c r="A59" s="3" t="s">
        <v>55</v>
      </c>
      <c r="B59" s="8"/>
      <c r="C59" s="8"/>
      <c r="D59" s="8"/>
      <c r="E59" s="8"/>
    </row>
    <row r="60" spans="1:5" ht="15.5">
      <c r="A60" s="2" t="s">
        <v>56</v>
      </c>
      <c r="B60" s="9">
        <v>1500</v>
      </c>
      <c r="C60" s="9">
        <v>0.39</v>
      </c>
      <c r="D60" s="9">
        <v>1500</v>
      </c>
      <c r="E60" s="9">
        <v>0.39</v>
      </c>
    </row>
    <row r="61" spans="1:5" ht="15.5">
      <c r="A61" s="2" t="s">
        <v>57</v>
      </c>
      <c r="B61" s="9">
        <v>2691.96</v>
      </c>
      <c r="C61" s="9">
        <v>0.7</v>
      </c>
      <c r="D61" s="9">
        <v>2691.96</v>
      </c>
      <c r="E61" s="9">
        <v>0.7</v>
      </c>
    </row>
    <row r="62" spans="1:5" ht="15.5">
      <c r="A62" s="2" t="s">
        <v>58</v>
      </c>
      <c r="B62" s="9">
        <v>8135.11</v>
      </c>
      <c r="C62" s="9">
        <v>2.13</v>
      </c>
      <c r="D62" s="9">
        <v>8135.11</v>
      </c>
      <c r="E62" s="9">
        <v>2.13</v>
      </c>
    </row>
    <row r="63" spans="1:5" ht="15.5">
      <c r="A63" s="2" t="s">
        <v>59</v>
      </c>
      <c r="B63" s="9">
        <v>376</v>
      </c>
      <c r="C63" s="9">
        <v>0.1</v>
      </c>
      <c r="D63" s="9">
        <v>376</v>
      </c>
      <c r="E63" s="9">
        <v>0.1</v>
      </c>
    </row>
    <row r="64" spans="1:5" ht="15.5">
      <c r="A64" s="2" t="s">
        <v>60</v>
      </c>
      <c r="B64" s="9">
        <v>24201.54</v>
      </c>
      <c r="C64" s="9">
        <v>6.33</v>
      </c>
      <c r="D64" s="9">
        <v>24201.54</v>
      </c>
      <c r="E64" s="9">
        <v>6.33</v>
      </c>
    </row>
    <row r="65" spans="1:5" ht="15.5">
      <c r="A65" s="2" t="s">
        <v>61</v>
      </c>
      <c r="B65" s="9">
        <v>341.33</v>
      </c>
      <c r="C65" s="9">
        <v>0.09</v>
      </c>
      <c r="D65" s="9">
        <v>341.33</v>
      </c>
      <c r="E65" s="9">
        <v>0.09</v>
      </c>
    </row>
    <row r="66" spans="1:5" ht="15.5">
      <c r="A66" s="3" t="s">
        <v>62</v>
      </c>
      <c r="B66" s="10">
        <v>37245.94</v>
      </c>
      <c r="C66" s="10">
        <v>9.74</v>
      </c>
      <c r="D66" s="10">
        <v>37245.94</v>
      </c>
      <c r="E66" s="10">
        <v>9.74</v>
      </c>
    </row>
    <row r="67" spans="1:5" ht="15.5">
      <c r="A67" s="3" t="s">
        <v>63</v>
      </c>
      <c r="B67" s="8"/>
      <c r="C67" s="8"/>
      <c r="D67" s="8"/>
      <c r="E67" s="8"/>
    </row>
    <row r="68" spans="1:5" ht="15.5">
      <c r="A68" s="2" t="s">
        <v>64</v>
      </c>
      <c r="B68" s="9">
        <v>4070</v>
      </c>
      <c r="C68" s="9">
        <v>1.06</v>
      </c>
      <c r="D68" s="9">
        <v>4070</v>
      </c>
      <c r="E68" s="9">
        <v>1.06</v>
      </c>
    </row>
    <row r="69" spans="1:5" ht="15.5">
      <c r="A69" s="2" t="s">
        <v>65</v>
      </c>
      <c r="B69" s="9">
        <v>16128.26</v>
      </c>
      <c r="C69" s="9">
        <v>4.22</v>
      </c>
      <c r="D69" s="9">
        <v>16128.26</v>
      </c>
      <c r="E69" s="9">
        <v>4.22</v>
      </c>
    </row>
    <row r="70" spans="1:5" ht="15.5">
      <c r="A70" s="2" t="s">
        <v>66</v>
      </c>
      <c r="B70" s="9">
        <v>9007.33</v>
      </c>
      <c r="C70" s="9">
        <v>2.36</v>
      </c>
      <c r="D70" s="9">
        <v>9007.33</v>
      </c>
      <c r="E70" s="9">
        <v>2.36</v>
      </c>
    </row>
    <row r="71" spans="1:5" ht="15.5">
      <c r="A71" s="3" t="s">
        <v>67</v>
      </c>
      <c r="B71" s="10">
        <v>29205.59</v>
      </c>
      <c r="C71" s="10">
        <v>7.64</v>
      </c>
      <c r="D71" s="10">
        <v>29205.59</v>
      </c>
      <c r="E71" s="10">
        <v>7.64</v>
      </c>
    </row>
    <row r="72" spans="1:5" ht="15.5">
      <c r="A72" s="3" t="s">
        <v>68</v>
      </c>
      <c r="B72" s="8"/>
      <c r="C72" s="8"/>
      <c r="D72" s="8"/>
      <c r="E72" s="8"/>
    </row>
    <row r="73" spans="1:5" ht="15.5">
      <c r="A73" s="2" t="s">
        <v>69</v>
      </c>
      <c r="B73" s="9">
        <v>792</v>
      </c>
      <c r="C73" s="9">
        <v>0.21</v>
      </c>
      <c r="D73" s="9">
        <v>792</v>
      </c>
      <c r="E73" s="9">
        <v>0.21</v>
      </c>
    </row>
    <row r="74" spans="1:5" ht="15.5">
      <c r="A74" s="2" t="s">
        <v>70</v>
      </c>
      <c r="B74" s="9">
        <v>244.71</v>
      </c>
      <c r="C74" s="9">
        <v>0.06</v>
      </c>
      <c r="D74" s="9">
        <v>244.71</v>
      </c>
      <c r="E74" s="9">
        <v>0.06</v>
      </c>
    </row>
    <row r="75" spans="1:5" ht="15.5">
      <c r="A75" s="2" t="s">
        <v>71</v>
      </c>
      <c r="B75" s="9">
        <v>750</v>
      </c>
      <c r="C75" s="9">
        <v>0.2</v>
      </c>
      <c r="D75" s="9">
        <v>750</v>
      </c>
      <c r="E75" s="9">
        <v>0.2</v>
      </c>
    </row>
    <row r="76" spans="1:5" ht="15.5">
      <c r="A76" s="2" t="s">
        <v>72</v>
      </c>
      <c r="B76" s="9">
        <v>2438.59</v>
      </c>
      <c r="C76" s="9">
        <v>0.64</v>
      </c>
      <c r="D76" s="9">
        <v>2438.59</v>
      </c>
      <c r="E76" s="9">
        <v>0.64</v>
      </c>
    </row>
    <row r="77" spans="1:5" ht="15.5">
      <c r="A77" s="3" t="s">
        <v>73</v>
      </c>
      <c r="B77" s="10">
        <v>4225.3</v>
      </c>
      <c r="C77" s="10">
        <v>1.1100000000000001</v>
      </c>
      <c r="D77" s="10">
        <v>4225.3</v>
      </c>
      <c r="E77" s="10">
        <v>1.1100000000000001</v>
      </c>
    </row>
    <row r="78" spans="1:5" ht="15.5">
      <c r="A78" s="2" t="s">
        <v>74</v>
      </c>
      <c r="B78" s="9">
        <v>2617.5</v>
      </c>
      <c r="C78" s="9">
        <v>0.68</v>
      </c>
      <c r="D78" s="9">
        <v>2617.5</v>
      </c>
      <c r="E78" s="9">
        <v>0.68</v>
      </c>
    </row>
    <row r="79" spans="1:5" ht="15.5">
      <c r="A79" s="3" t="s">
        <v>75</v>
      </c>
      <c r="B79" s="10">
        <v>106228.88</v>
      </c>
      <c r="C79" s="10">
        <v>27.79</v>
      </c>
      <c r="D79" s="10">
        <v>106228.88</v>
      </c>
      <c r="E79" s="10">
        <v>27.79</v>
      </c>
    </row>
    <row r="80" spans="1:5" ht="15.5">
      <c r="A80" s="2"/>
      <c r="B80" s="9"/>
      <c r="C80" s="9"/>
      <c r="D80" s="9"/>
      <c r="E80" s="9"/>
    </row>
    <row r="81" spans="1:5" ht="15.5">
      <c r="A81" s="3" t="s">
        <v>76</v>
      </c>
      <c r="B81" s="8">
        <v>276011.37</v>
      </c>
      <c r="C81" s="8">
        <v>72.209999999999994</v>
      </c>
      <c r="D81" s="8">
        <v>276011.37</v>
      </c>
      <c r="E81" s="8">
        <v>72.209999999999994</v>
      </c>
    </row>
    <row r="82" spans="1:5" ht="15.5">
      <c r="A82" s="2"/>
      <c r="B82" s="9"/>
      <c r="C82" s="9"/>
      <c r="D82" s="9"/>
      <c r="E82" s="9"/>
    </row>
    <row r="83" spans="1:5" ht="15.5">
      <c r="A83" s="3" t="s">
        <v>77</v>
      </c>
      <c r="B83" s="8"/>
      <c r="C83" s="8"/>
      <c r="D83" s="8"/>
      <c r="E83" s="8"/>
    </row>
    <row r="84" spans="1:5" ht="15.5">
      <c r="A84" s="3" t="s">
        <v>78</v>
      </c>
      <c r="B84" s="8"/>
      <c r="C84" s="8"/>
      <c r="D84" s="8"/>
      <c r="E84" s="8"/>
    </row>
    <row r="85" spans="1:5" ht="15.5">
      <c r="A85" s="3" t="s">
        <v>79</v>
      </c>
      <c r="B85" s="8"/>
      <c r="C85" s="8"/>
      <c r="D85" s="8"/>
      <c r="E85" s="8"/>
    </row>
    <row r="86" spans="1:5" ht="15.5">
      <c r="A86" s="2" t="s">
        <v>80</v>
      </c>
      <c r="B86" s="9">
        <v>1395</v>
      </c>
      <c r="C86" s="9">
        <v>0.36</v>
      </c>
      <c r="D86" s="9">
        <v>1395</v>
      </c>
      <c r="E86" s="9">
        <v>0.36</v>
      </c>
    </row>
    <row r="87" spans="1:5" ht="15.5">
      <c r="A87" s="2" t="s">
        <v>81</v>
      </c>
      <c r="B87" s="9">
        <v>40859.39</v>
      </c>
      <c r="C87" s="9">
        <v>10.69</v>
      </c>
      <c r="D87" s="9">
        <v>40859.39</v>
      </c>
      <c r="E87" s="9">
        <v>10.69</v>
      </c>
    </row>
    <row r="88" spans="1:5" ht="15.5">
      <c r="A88" s="2" t="s">
        <v>82</v>
      </c>
      <c r="B88" s="9">
        <v>17886.5</v>
      </c>
      <c r="C88" s="9">
        <v>4.68</v>
      </c>
      <c r="D88" s="9">
        <v>17886.5</v>
      </c>
      <c r="E88" s="9">
        <v>4.68</v>
      </c>
    </row>
    <row r="89" spans="1:5" ht="15.5">
      <c r="A89" s="2" t="s">
        <v>83</v>
      </c>
      <c r="B89" s="9">
        <v>26529.17</v>
      </c>
      <c r="C89" s="9">
        <v>6.94</v>
      </c>
      <c r="D89" s="9">
        <v>26529.17</v>
      </c>
      <c r="E89" s="9">
        <v>6.94</v>
      </c>
    </row>
    <row r="90" spans="1:5" ht="15.5">
      <c r="A90" s="2" t="s">
        <v>190</v>
      </c>
      <c r="B90" s="9">
        <v>750</v>
      </c>
      <c r="C90" s="9">
        <v>0.2</v>
      </c>
      <c r="D90" s="9">
        <v>750</v>
      </c>
      <c r="E90" s="9">
        <v>0.2</v>
      </c>
    </row>
    <row r="91" spans="1:5" ht="15.5">
      <c r="A91" s="3" t="s">
        <v>84</v>
      </c>
      <c r="B91" s="10">
        <v>87420.06</v>
      </c>
      <c r="C91" s="10">
        <v>22.87</v>
      </c>
      <c r="D91" s="10">
        <v>87420.06</v>
      </c>
      <c r="E91" s="10">
        <v>22.87</v>
      </c>
    </row>
    <row r="92" spans="1:5" ht="15.5">
      <c r="A92" s="3" t="s">
        <v>85</v>
      </c>
      <c r="B92" s="10">
        <v>87420.06</v>
      </c>
      <c r="C92" s="10">
        <v>22.87</v>
      </c>
      <c r="D92" s="10">
        <v>87420.06</v>
      </c>
      <c r="E92" s="10">
        <v>22.87</v>
      </c>
    </row>
    <row r="93" spans="1:5" ht="15.5">
      <c r="A93" s="2"/>
      <c r="B93" s="9"/>
      <c r="C93" s="9"/>
      <c r="D93" s="9"/>
      <c r="E93" s="9"/>
    </row>
    <row r="94" spans="1:5" ht="15.5">
      <c r="A94" s="3" t="s">
        <v>86</v>
      </c>
      <c r="B94" s="10">
        <v>-87420.06</v>
      </c>
      <c r="C94" s="10">
        <v>-22.87</v>
      </c>
      <c r="D94" s="10">
        <v>-87420.06</v>
      </c>
      <c r="E94" s="10">
        <v>-22.87</v>
      </c>
    </row>
    <row r="95" spans="1:5" ht="15.5">
      <c r="A95" s="2"/>
      <c r="B95" s="9"/>
      <c r="C95" s="9"/>
      <c r="D95" s="9"/>
      <c r="E95" s="9"/>
    </row>
    <row r="96" spans="1:5" ht="15.5">
      <c r="A96" s="2" t="s">
        <v>87</v>
      </c>
      <c r="B96" s="9">
        <v>382240.25</v>
      </c>
      <c r="C96" s="9">
        <v>100</v>
      </c>
      <c r="D96" s="9">
        <v>382240.25</v>
      </c>
      <c r="E96" s="9">
        <v>100</v>
      </c>
    </row>
    <row r="97" spans="1:5" ht="15.5">
      <c r="A97" s="2" t="s">
        <v>88</v>
      </c>
      <c r="B97" s="9">
        <v>193648.94</v>
      </c>
      <c r="C97" s="9">
        <v>50.66</v>
      </c>
      <c r="D97" s="9">
        <v>193648.94</v>
      </c>
      <c r="E97" s="9">
        <v>50.66</v>
      </c>
    </row>
    <row r="98" spans="1:5" ht="15.5">
      <c r="A98" s="2"/>
      <c r="B98" s="9"/>
      <c r="C98" s="9"/>
      <c r="D98" s="9"/>
      <c r="E98" s="9"/>
    </row>
    <row r="99" spans="1:5" ht="15.5">
      <c r="A99" s="3" t="s">
        <v>89</v>
      </c>
      <c r="B99" s="10">
        <v>188591.31</v>
      </c>
      <c r="C99" s="10">
        <v>49.34</v>
      </c>
      <c r="D99" s="10">
        <v>188591.31</v>
      </c>
      <c r="E99" s="10">
        <v>49.34</v>
      </c>
    </row>
    <row r="100" spans="1:5" ht="15.5">
      <c r="A100" s="2"/>
      <c r="B100" s="9"/>
      <c r="C100" s="9"/>
      <c r="D100" s="9"/>
      <c r="E100" s="9"/>
    </row>
    <row r="101" spans="1:5" ht="15.5">
      <c r="A101" s="3" t="s">
        <v>198</v>
      </c>
      <c r="B101" s="8"/>
      <c r="C101" s="8"/>
      <c r="D101" s="8"/>
      <c r="E101" s="8"/>
    </row>
    <row r="102" spans="1:5" ht="15.5">
      <c r="A102" s="2" t="s">
        <v>199</v>
      </c>
      <c r="B102" s="9">
        <v>-40558.03</v>
      </c>
      <c r="C102" s="9"/>
      <c r="D102" s="9">
        <v>-44358.03</v>
      </c>
      <c r="E102" s="9"/>
    </row>
    <row r="103" spans="1:5" ht="15.5">
      <c r="A103" s="2" t="s">
        <v>107</v>
      </c>
      <c r="B103" s="9">
        <v>2590.0100000000002</v>
      </c>
      <c r="C103" s="9"/>
      <c r="D103" s="9">
        <v>85275.01</v>
      </c>
      <c r="E103" s="9"/>
    </row>
    <row r="104" spans="1:5" ht="15.5">
      <c r="A104" s="2" t="s">
        <v>183</v>
      </c>
      <c r="B104" s="9">
        <v>11913.82</v>
      </c>
      <c r="C104" s="9"/>
      <c r="D104" s="9">
        <v>11913.82</v>
      </c>
      <c r="E104" s="9"/>
    </row>
    <row r="105" spans="1:5" ht="15.5">
      <c r="A105" s="2" t="s">
        <v>200</v>
      </c>
      <c r="B105" s="9">
        <v>27391.95</v>
      </c>
      <c r="C105" s="9"/>
      <c r="D105" s="9">
        <v>27391.95</v>
      </c>
      <c r="E105" s="9"/>
    </row>
    <row r="106" spans="1:5" ht="15.5">
      <c r="A106" s="3" t="s">
        <v>201</v>
      </c>
      <c r="B106" s="10">
        <v>1337.75</v>
      </c>
      <c r="C106" s="10"/>
      <c r="D106" s="10">
        <v>80222.75</v>
      </c>
      <c r="E106" s="10"/>
    </row>
    <row r="107" spans="1:5" ht="15.5">
      <c r="A107" s="2"/>
      <c r="B107" s="9"/>
      <c r="C107" s="9"/>
      <c r="D107" s="9"/>
      <c r="E107" s="9"/>
    </row>
    <row r="108" spans="1:5" ht="15.5">
      <c r="A108" s="3" t="s">
        <v>181</v>
      </c>
      <c r="B108" s="8"/>
      <c r="C108" s="8"/>
      <c r="D108" s="8"/>
      <c r="E108" s="8"/>
    </row>
    <row r="109" spans="1:5" ht="15.5">
      <c r="A109" s="2" t="s">
        <v>182</v>
      </c>
      <c r="B109" s="9">
        <v>2590.0100000000002</v>
      </c>
      <c r="C109" s="9"/>
      <c r="D109" s="9">
        <v>85275.01</v>
      </c>
      <c r="E109" s="9"/>
    </row>
    <row r="110" spans="1:5" ht="15.5">
      <c r="A110" s="2" t="s">
        <v>184</v>
      </c>
      <c r="B110" s="9">
        <v>52942.95</v>
      </c>
      <c r="C110" s="9"/>
      <c r="D110" s="9">
        <v>52942.95</v>
      </c>
      <c r="E110" s="9"/>
    </row>
    <row r="111" spans="1:5" ht="15.5">
      <c r="A111" s="2" t="s">
        <v>185</v>
      </c>
      <c r="B111" s="9">
        <v>-232527</v>
      </c>
      <c r="C111" s="9"/>
      <c r="D111" s="9">
        <v>-232527</v>
      </c>
      <c r="E111" s="9"/>
    </row>
    <row r="112" spans="1:5" ht="15.5">
      <c r="A112" s="3" t="s">
        <v>186</v>
      </c>
      <c r="B112" s="10">
        <v>-176994.04</v>
      </c>
      <c r="C112" s="10"/>
      <c r="D112" s="10">
        <v>-94309.04</v>
      </c>
      <c r="E112" s="10"/>
    </row>
    <row r="113" spans="1:5" ht="15.5">
      <c r="A113" s="2"/>
      <c r="B113" s="9"/>
      <c r="C113" s="9"/>
      <c r="D113" s="9"/>
      <c r="E113" s="9"/>
    </row>
    <row r="114" spans="1:5" ht="15.5">
      <c r="A114" s="3" t="s">
        <v>178</v>
      </c>
      <c r="B114" s="10">
        <v>12935.02</v>
      </c>
      <c r="C114" s="10"/>
      <c r="D114" s="10">
        <v>174505.02</v>
      </c>
      <c r="E114" s="10"/>
    </row>
    <row r="115" spans="1:5" ht="15.5">
      <c r="A115" s="2"/>
      <c r="B115" s="9"/>
      <c r="C115" s="9"/>
      <c r="D115" s="9"/>
      <c r="E115" s="9"/>
    </row>
    <row r="116" spans="1:5" ht="15.5">
      <c r="A116" s="3" t="s">
        <v>187</v>
      </c>
      <c r="B116" s="8">
        <v>78885</v>
      </c>
      <c r="C116" s="8"/>
      <c r="D116" s="8">
        <v>0</v>
      </c>
      <c r="E116" s="8"/>
    </row>
    <row r="117" spans="1:5" ht="15.5">
      <c r="A117" s="3" t="s">
        <v>188</v>
      </c>
      <c r="B117" s="8">
        <v>91820.02</v>
      </c>
      <c r="C117" s="8"/>
      <c r="D117" s="8">
        <v>174505.02</v>
      </c>
      <c r="E117" s="8"/>
    </row>
    <row r="118" spans="1:5" ht="15.5">
      <c r="A118" s="3" t="s">
        <v>189</v>
      </c>
      <c r="B118" s="8">
        <v>89230.01</v>
      </c>
      <c r="C118" s="8"/>
      <c r="D118" s="8">
        <v>89230.01</v>
      </c>
      <c r="E118" s="8"/>
    </row>
    <row r="119" spans="1:5">
      <c r="D119" s="41">
        <f>D117-D118</f>
        <v>85275.01</v>
      </c>
    </row>
  </sheetData>
  <mergeCells count="11">
    <mergeCell ref="A6:E6"/>
    <mergeCell ref="A1:E1"/>
    <mergeCell ref="A2:E2"/>
    <mergeCell ref="A3:E3"/>
    <mergeCell ref="A4:E4"/>
    <mergeCell ref="A5:E5"/>
    <mergeCell ref="A7:E7"/>
    <mergeCell ref="A8:E8"/>
    <mergeCell ref="A9:E9"/>
    <mergeCell ref="A10:E10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KPIs</vt:lpstr>
      <vt:lpstr>Analyzer</vt:lpstr>
      <vt:lpstr>BS &amp; IS (Combined)</vt:lpstr>
      <vt:lpstr>IS (Combined)</vt:lpstr>
      <vt:lpstr>CapEx</vt:lpstr>
      <vt:lpstr>Fund Exp</vt:lpstr>
      <vt:lpstr>Fixed Assets</vt:lpstr>
      <vt:lpstr>Cash Flow (Combined)</vt:lpstr>
      <vt:lpstr>TB Combined</vt:lpstr>
      <vt:lpstr>IS</vt:lpstr>
      <vt:lpstr>BS</vt:lpstr>
      <vt:lpstr>Bad Debt</vt:lpstr>
      <vt:lpstr>Balance Sheet &amp; IS</vt:lpstr>
      <vt:lpstr>Debt Service</vt:lpstr>
      <vt:lpstr>IS (Combined) (Q2)</vt:lpstr>
      <vt:lpstr>Cash Flow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Wyatt Davis</cp:lastModifiedBy>
  <cp:revision>0</cp:revision>
  <cp:lastPrinted>2025-08-04T22:14:50Z</cp:lastPrinted>
  <dcterms:created xsi:type="dcterms:W3CDTF">2025-07-14T16:32:14Z</dcterms:created>
  <dcterms:modified xsi:type="dcterms:W3CDTF">2025-12-01T22:49:03Z</dcterms:modified>
</cp:coreProperties>
</file>
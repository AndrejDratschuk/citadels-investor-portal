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Operating Performance" sheetId="2" state="visible" r:id="rId4"/>
    <sheet name="Debt Schedule" sheetId="3" state="visible" r:id="rId5"/>
    <sheet name="Returns &amp; Valuation" sheetId="4" state="visible" r:id="rId6"/>
    <sheet name="Capital Account" sheetId="5" state="visible" r:id="rId7"/>
    <sheet name="Lease Rollover" sheetId="6" state="visible" r:id="rId8"/>
    <sheet name="Market Com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<sst xmlns="http://schemas.openxmlformats.org/spreadsheetml/2006/main" count="650" uniqueCount="445">
  <si>
    <t xml:space="preserve">Meridian Real Estate Partners Fund III</t>
  </si>
  <si>
    <t xml:space="preserve">Portfolio Summary — As of September 30, 2025</t>
  </si>
  <si>
    <t xml:space="preserve">Confidential — For Investor Use Only</t>
  </si>
  <si>
    <t xml:space="preserve">FUND OVERVIEW</t>
  </si>
  <si>
    <t xml:space="preserve">Fund Vintage</t>
  </si>
  <si>
    <t xml:space="preserve">2021</t>
  </si>
  <si>
    <t xml:space="preserve">Fund Size (Committed Capital)</t>
  </si>
  <si>
    <t xml:space="preserve">Capital Called to Date</t>
  </si>
  <si>
    <t xml:space="preserve">Remaining Commitment</t>
  </si>
  <si>
    <t xml:space="preserve">Total Properties</t>
  </si>
  <si>
    <t xml:space="preserve">Total Gross Asset Value (GAV)</t>
  </si>
  <si>
    <t xml:space="preserve">Total Debt Outstanding</t>
  </si>
  <si>
    <t xml:space="preserve">Net Asset Value (NAV)</t>
  </si>
  <si>
    <t xml:space="preserve">Gross IRR (Since Inception)</t>
  </si>
  <si>
    <t xml:space="preserve">Net IRR (Since Inception)</t>
  </si>
  <si>
    <t xml:space="preserve">Gross Equity Multiple</t>
  </si>
  <si>
    <t xml:space="preserve">Net Equity Multiple</t>
  </si>
  <si>
    <t xml:space="preserve">DPI (Distributions / Paid-In)</t>
  </si>
  <si>
    <t xml:space="preserve">RVPI (Residual Value / Paid-In)</t>
  </si>
  <si>
    <t xml:space="preserve">TVPI (Total Value / Paid-In)</t>
  </si>
  <si>
    <t xml:space="preserve">Wtd Avg Cap Rate (Portfolio)</t>
  </si>
  <si>
    <t xml:space="preserve">Wtd Avg Occupancy</t>
  </si>
  <si>
    <t xml:space="preserve">Wtd Avg DSCR</t>
  </si>
  <si>
    <t xml:space="preserve">Wtd Avg LTV</t>
  </si>
  <si>
    <t xml:space="preserve">PROPERTY PORTFOLIO SUMMARY</t>
  </si>
  <si>
    <t xml:space="preserve">Property Name</t>
  </si>
  <si>
    <t xml:space="preserve">Property Type</t>
  </si>
  <si>
    <t xml:space="preserve">Market / MSA</t>
  </si>
  <si>
    <t xml:space="preserve">Acquisition Date</t>
  </si>
  <si>
    <t xml:space="preserve">Acquisition Price</t>
  </si>
  <si>
    <t xml:space="preserve">Current GAV</t>
  </si>
  <si>
    <t xml:space="preserve">Total Equity Invested</t>
  </si>
  <si>
    <t xml:space="preserve">Gross SF / Units</t>
  </si>
  <si>
    <t xml:space="preserve">Occupancy %</t>
  </si>
  <si>
    <t xml:space="preserve">In-Place NOI (Ann.)</t>
  </si>
  <si>
    <t xml:space="preserve">NOI Yield on Cost %</t>
  </si>
  <si>
    <t xml:space="preserve">Cap Rate at Acq %</t>
  </si>
  <si>
    <t xml:space="preserve">Current Cap Rate %</t>
  </si>
  <si>
    <t xml:space="preserve">Debt Outstanding</t>
  </si>
  <si>
    <t xml:space="preserve">LTV %</t>
  </si>
  <si>
    <t xml:space="preserve">DSCR</t>
  </si>
  <si>
    <t xml:space="preserve">Gross IRR %</t>
  </si>
  <si>
    <t xml:space="preserve">Equity Multiple</t>
  </si>
  <si>
    <t xml:space="preserve">The Meridian Tower</t>
  </si>
  <si>
    <t xml:space="preserve">Office - Class A</t>
  </si>
  <si>
    <t xml:space="preserve">Manhattan, NY</t>
  </si>
  <si>
    <t xml:space="preserve">2021-03-15</t>
  </si>
  <si>
    <t xml:space="preserve">285,000 SF</t>
  </si>
  <si>
    <t xml:space="preserve">Harborview Apartments</t>
  </si>
  <si>
    <t xml:space="preserve">Multifamily (312 units)</t>
  </si>
  <si>
    <t xml:space="preserve">Austin, TX</t>
  </si>
  <si>
    <t xml:space="preserve">2021-06-22</t>
  </si>
  <si>
    <t xml:space="preserve">312 Units</t>
  </si>
  <si>
    <t xml:space="preserve">Pacific Distribution Center</t>
  </si>
  <si>
    <t xml:space="preserve">Industrial / Logistics</t>
  </si>
  <si>
    <t xml:space="preserve">Inland Empire, CA</t>
  </si>
  <si>
    <t xml:space="preserve">2021-09-10</t>
  </si>
  <si>
    <t xml:space="preserve">425,000 SF</t>
  </si>
  <si>
    <t xml:space="preserve">Grandview Medical Plaza</t>
  </si>
  <si>
    <t xml:space="preserve">Medical Office</t>
  </si>
  <si>
    <t xml:space="preserve">Nashville, TN</t>
  </si>
  <si>
    <t xml:space="preserve">2021-11-30</t>
  </si>
  <si>
    <t xml:space="preserve">118,000 SF</t>
  </si>
  <si>
    <t xml:space="preserve">The Brookstone Collection</t>
  </si>
  <si>
    <t xml:space="preserve">Retail - Grocery Anch.</t>
  </si>
  <si>
    <t xml:space="preserve">Charlotte, NC</t>
  </si>
  <si>
    <t xml:space="preserve">2022-02-14</t>
  </si>
  <si>
    <t xml:space="preserve">195,000 SF</t>
  </si>
  <si>
    <t xml:space="preserve">Riverwalk Mixed-Use</t>
  </si>
  <si>
    <t xml:space="preserve">Mixed-Use (Res + Retail)</t>
  </si>
  <si>
    <t xml:space="preserve">Denver, CO</t>
  </si>
  <si>
    <t xml:space="preserve">2022-05-08</t>
  </si>
  <si>
    <t xml:space="preserve">220 Units + 28K SF</t>
  </si>
  <si>
    <t xml:space="preserve">Summit Tech Campus</t>
  </si>
  <si>
    <t xml:space="preserve">Office - Suburban</t>
  </si>
  <si>
    <t xml:space="preserve">Raleigh-Durham, NC</t>
  </si>
  <si>
    <t xml:space="preserve">2022-08-19</t>
  </si>
  <si>
    <t xml:space="preserve">175,000 SF</t>
  </si>
  <si>
    <t xml:space="preserve">Sunrise Senior Living</t>
  </si>
  <si>
    <t xml:space="preserve">Senior Housing (NNN)</t>
  </si>
  <si>
    <t xml:space="preserve">Scottsdale, AZ</t>
  </si>
  <si>
    <t xml:space="preserve">2022-10-25</t>
  </si>
  <si>
    <t xml:space="preserve">142 Beds</t>
  </si>
  <si>
    <t xml:space="preserve">Lakeshore Logistics Park</t>
  </si>
  <si>
    <t xml:space="preserve">Industrial / Warehouse</t>
  </si>
  <si>
    <t xml:space="preserve">Columbus, OH</t>
  </si>
  <si>
    <t xml:space="preserve">2023-01-18</t>
  </si>
  <si>
    <t xml:space="preserve">520,000 SF</t>
  </si>
  <si>
    <t xml:space="preserve">The Parker Residences</t>
  </si>
  <si>
    <t xml:space="preserve">Multifamily (198 units)</t>
  </si>
  <si>
    <t xml:space="preserve">Tampa, FL</t>
  </si>
  <si>
    <t xml:space="preserve">2023-04-30</t>
  </si>
  <si>
    <t xml:space="preserve">198 Units</t>
  </si>
  <si>
    <t xml:space="preserve">Crossroads Fulfillment Ctr</t>
  </si>
  <si>
    <t xml:space="preserve">Industrial - Last Mile</t>
  </si>
  <si>
    <t xml:space="preserve">Dallas-Fort Worth, TX</t>
  </si>
  <si>
    <t xml:space="preserve">2023-09-12</t>
  </si>
  <si>
    <t xml:space="preserve">310,000 SF</t>
  </si>
  <si>
    <t xml:space="preserve">Midtown Mixed-Use Dev</t>
  </si>
  <si>
    <t xml:space="preserve">Mixed-Use (Dev Stage)</t>
  </si>
  <si>
    <t xml:space="preserve">Atlanta, GA</t>
  </si>
  <si>
    <t xml:space="preserve">2024-02-28</t>
  </si>
  <si>
    <t xml:space="preserve">280 Units + 45K SF</t>
  </si>
  <si>
    <t xml:space="preserve">PORTFOLIO TOTAL / WTD AVG</t>
  </si>
  <si>
    <t xml:space="preserve">Property Operating Performance — Trailing 12 Months &amp; Budget Comparison</t>
  </si>
  <si>
    <t xml:space="preserve">Period</t>
  </si>
  <si>
    <t xml:space="preserve">Gross Potential Rent</t>
  </si>
  <si>
    <t xml:space="preserve">Vacancy &amp; Credit Loss</t>
  </si>
  <si>
    <t xml:space="preserve">Effective Gross Revenue</t>
  </si>
  <si>
    <t xml:space="preserve">Other Income (Parking/Fees)</t>
  </si>
  <si>
    <t xml:space="preserve">Total Revenue</t>
  </si>
  <si>
    <t xml:space="preserve">Property Taxes</t>
  </si>
  <si>
    <t xml:space="preserve">Insurance</t>
  </si>
  <si>
    <t xml:space="preserve">Utilities</t>
  </si>
  <si>
    <t xml:space="preserve">R&amp;M / Repairs</t>
  </si>
  <si>
    <t xml:space="preserve">Property Mgmt Fee</t>
  </si>
  <si>
    <t xml:space="preserve">G&amp;A / Admin</t>
  </si>
  <si>
    <t xml:space="preserve">Total Operating Expenses</t>
  </si>
  <si>
    <t xml:space="preserve">Net Operating Income (NOI)</t>
  </si>
  <si>
    <t xml:space="preserve">NOI Margin %</t>
  </si>
  <si>
    <t xml:space="preserve">CapEx (Actual)</t>
  </si>
  <si>
    <t xml:space="preserve">CapEx Reserve</t>
  </si>
  <si>
    <t xml:space="preserve">NOI Less CapEx (Cash NOI)</t>
  </si>
  <si>
    <t xml:space="preserve">TTM Actual</t>
  </si>
  <si>
    <t xml:space="preserve">Budget</t>
  </si>
  <si>
    <t xml:space="preserve">Variance $</t>
  </si>
  <si>
    <t xml:space="preserve">Fund Debt Schedule — As of September 30, 2025</t>
  </si>
  <si>
    <t xml:space="preserve">Lender</t>
  </si>
  <si>
    <t xml:space="preserve">Loan Type</t>
  </si>
  <si>
    <t xml:space="preserve">Original Loan Amount</t>
  </si>
  <si>
    <t xml:space="preserve">Current Balance</t>
  </si>
  <si>
    <t xml:space="preserve">Interest Rate</t>
  </si>
  <si>
    <t xml:space="preserve">Rate Type</t>
  </si>
  <si>
    <t xml:space="preserve">IO Period End</t>
  </si>
  <si>
    <t xml:space="preserve">Maturity Date</t>
  </si>
  <si>
    <t xml:space="preserve">Extension Options</t>
  </si>
  <si>
    <t xml:space="preserve">Annual Debt Service</t>
  </si>
  <si>
    <t xml:space="preserve">Loan per SF/Unit</t>
  </si>
  <si>
    <t xml:space="preserve">Prepayment Penalty</t>
  </si>
  <si>
    <t xml:space="preserve">Covenants / Notes</t>
  </si>
  <si>
    <t xml:space="preserve">JPMorgan Chase</t>
  </si>
  <si>
    <t xml:space="preserve">CMBS</t>
  </si>
  <si>
    <t xml:space="preserve">Fixed</t>
  </si>
  <si>
    <t xml:space="preserve">2024-03-15</t>
  </si>
  <si>
    <t xml:space="preserve">2028-03-15</t>
  </si>
  <si>
    <t xml:space="preserve">2x 1-yr</t>
  </si>
  <si>
    <t xml:space="preserve">$144/SF</t>
  </si>
  <si>
    <t xml:space="preserve">Yield Maint.</t>
  </si>
  <si>
    <t xml:space="preserve">Min DSCR 1.25x; Max LTV 75%</t>
  </si>
  <si>
    <t xml:space="preserve">Wells Fargo</t>
  </si>
  <si>
    <t xml:space="preserve">Agency (Fannie)</t>
  </si>
  <si>
    <t xml:space="preserve">2026-06-22</t>
  </si>
  <si>
    <t xml:space="preserve">2031-06-22</t>
  </si>
  <si>
    <t xml:space="preserve">None</t>
  </si>
  <si>
    <t xml:space="preserve">$116,218/Unit</t>
  </si>
  <si>
    <t xml:space="preserve">1% declining</t>
  </si>
  <si>
    <t xml:space="preserve">Min DSCR 1.20x; 90-day lockout</t>
  </si>
  <si>
    <t xml:space="preserve">MetLife Investment Mgmt</t>
  </si>
  <si>
    <t xml:space="preserve">Life Co</t>
  </si>
  <si>
    <t xml:space="preserve">2024-09-10</t>
  </si>
  <si>
    <t xml:space="preserve">2031-09-10</t>
  </si>
  <si>
    <t xml:space="preserve">1x 1-yr</t>
  </si>
  <si>
    <t xml:space="preserve">$68/SF</t>
  </si>
  <si>
    <t xml:space="preserve">Defeasance</t>
  </si>
  <si>
    <t xml:space="preserve">Min DSCR 1.30x; Max LTV 70%</t>
  </si>
  <si>
    <t xml:space="preserve">Prudential</t>
  </si>
  <si>
    <t xml:space="preserve">2024-11-30</t>
  </si>
  <si>
    <t xml:space="preserve">2029-11-30</t>
  </si>
  <si>
    <t xml:space="preserve">$147/SF</t>
  </si>
  <si>
    <t xml:space="preserve">Min DSCR 1.25x; Tenant TI reserve</t>
  </si>
  <si>
    <t xml:space="preserve">KeyBank</t>
  </si>
  <si>
    <t xml:space="preserve">Balance Sheet</t>
  </si>
  <si>
    <t xml:space="preserve">Floating (SOFR+210)</t>
  </si>
  <si>
    <t xml:space="preserve">2024-02-14</t>
  </si>
  <si>
    <t xml:space="preserve">2027-02-14</t>
  </si>
  <si>
    <t xml:space="preserve">$110/SF</t>
  </si>
  <si>
    <t xml:space="preserve">None after 12mo</t>
  </si>
  <si>
    <t xml:space="preserve">Min DSCR 1.15x; Anchor tenant req.</t>
  </si>
  <si>
    <t xml:space="preserve">PGIM Real Estate</t>
  </si>
  <si>
    <t xml:space="preserve">2025-05-08</t>
  </si>
  <si>
    <t xml:space="preserve">2032-05-08</t>
  </si>
  <si>
    <t xml:space="preserve">$134,182/Unit</t>
  </si>
  <si>
    <t xml:space="preserve">Min DSCR 1.20x; Max LTV 72%</t>
  </si>
  <si>
    <t xml:space="preserve">Bank of America</t>
  </si>
  <si>
    <t xml:space="preserve">Floating (SOFR+280)</t>
  </si>
  <si>
    <t xml:space="preserve">N/A</t>
  </si>
  <si>
    <t xml:space="preserve">2026-08-19</t>
  </si>
  <si>
    <t xml:space="preserve">$108/SF</t>
  </si>
  <si>
    <t xml:space="preserve">Min DSCR 1.10x; Cash sweep at 80% occ</t>
  </si>
  <si>
    <t xml:space="preserve">Ares Capital</t>
  </si>
  <si>
    <t xml:space="preserve">Mezzanine + Senior</t>
  </si>
  <si>
    <t xml:space="preserve">2025-10-25</t>
  </si>
  <si>
    <t xml:space="preserve">2030-10-25</t>
  </si>
  <si>
    <t xml:space="preserve">$112,394/Bed</t>
  </si>
  <si>
    <t xml:space="preserve">1.5% declining</t>
  </si>
  <si>
    <t xml:space="preserve">Min DSCR 1.20x; Operator performance</t>
  </si>
  <si>
    <t xml:space="preserve">Nuveen Real Estate</t>
  </si>
  <si>
    <t xml:space="preserve">2026-01-18</t>
  </si>
  <si>
    <t xml:space="preserve">2033-01-18</t>
  </si>
  <si>
    <t xml:space="preserve">$52/SF</t>
  </si>
  <si>
    <t xml:space="preserve">Min DSCR 1.30x; Max LTV 68%</t>
  </si>
  <si>
    <t xml:space="preserve">Freddie Mac</t>
  </si>
  <si>
    <t xml:space="preserve">Agency</t>
  </si>
  <si>
    <t xml:space="preserve">2028-04-30</t>
  </si>
  <si>
    <t xml:space="preserve">2033-04-30</t>
  </si>
  <si>
    <t xml:space="preserve">$118,838/Unit</t>
  </si>
  <si>
    <t xml:space="preserve">Min DSCR 1.25x; Green cert. required</t>
  </si>
  <si>
    <t xml:space="preserve">Goldman Sachs</t>
  </si>
  <si>
    <t xml:space="preserve">2026-09-12</t>
  </si>
  <si>
    <t xml:space="preserve">2028-09-12</t>
  </si>
  <si>
    <t xml:space="preserve">3x 1-yr</t>
  </si>
  <si>
    <t xml:space="preserve">$67/SF</t>
  </si>
  <si>
    <t xml:space="preserve">Min DSCR 1.25x; Tenant roll prot.</t>
  </si>
  <si>
    <t xml:space="preserve">Starwood Capital (Mezz) + Citizens Bank (Senior)</t>
  </si>
  <si>
    <t xml:space="preserve">Construction</t>
  </si>
  <si>
    <t xml:space="preserve">Floating (SOFR+400)</t>
  </si>
  <si>
    <t xml:space="preserve">2027-02-28</t>
  </si>
  <si>
    <t xml:space="preserve">2x 6-mo</t>
  </si>
  <si>
    <t xml:space="preserve">Budget/timeline covenants; Completion guar.</t>
  </si>
  <si>
    <t xml:space="preserve">Property-Level Returns &amp; Valuation Summary</t>
  </si>
  <si>
    <t xml:space="preserve">Total Capitalized Cost</t>
  </si>
  <si>
    <t xml:space="preserve">Equity Invested</t>
  </si>
  <si>
    <t xml:space="preserve">Current GAV (Appraised)</t>
  </si>
  <si>
    <t xml:space="preserve">Unrealized Gain / (Loss)</t>
  </si>
  <si>
    <t xml:space="preserve">Gain on Cost %</t>
  </si>
  <si>
    <t xml:space="preserve">Cash Distributions to Date</t>
  </si>
  <si>
    <t xml:space="preserve">Remaining Equity Value</t>
  </si>
  <si>
    <t xml:space="preserve">Total Value (Dist + Remaining)</t>
  </si>
  <si>
    <t xml:space="preserve">Net IRR %</t>
  </si>
  <si>
    <t xml:space="preserve">Cap Rate at Acquisition %</t>
  </si>
  <si>
    <t xml:space="preserve">Exit Cap Rate Assumption %</t>
  </si>
  <si>
    <t xml:space="preserve">Current Implied Cap Rate %</t>
  </si>
  <si>
    <t xml:space="preserve">Going-In Yield %</t>
  </si>
  <si>
    <t xml:space="preserve">Stabilized Yield on Cost %</t>
  </si>
  <si>
    <t xml:space="preserve">Fund Capital Account Summary — Inception to Date</t>
  </si>
  <si>
    <t xml:space="preserve">All figures in USD</t>
  </si>
  <si>
    <t xml:space="preserve">Beginning Balance</t>
  </si>
  <si>
    <t xml:space="preserve">Capital Called</t>
  </si>
  <si>
    <t xml:space="preserve">Management Fees</t>
  </si>
  <si>
    <t xml:space="preserve">Distributions</t>
  </si>
  <si>
    <t xml:space="preserve">Net Income / (Loss)</t>
  </si>
  <si>
    <t xml:space="preserve">Other Adjustments</t>
  </si>
  <si>
    <t xml:space="preserve">Ending Balance</t>
  </si>
  <si>
    <t xml:space="preserve">Q1 2021</t>
  </si>
  <si>
    <t xml:space="preserve">Q2 2021</t>
  </si>
  <si>
    <t xml:space="preserve">Q3 2021</t>
  </si>
  <si>
    <t xml:space="preserve">Q4 2021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</si>
  <si>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</si>
  <si>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</si>
  <si>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</si>
  <si>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</si>
  <si>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</si>
  <si>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</si>
  <si>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</si>
  <si>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</si>
  <si>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</si>
  <si>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</si>
  <si>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</si>
  <si>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</si>
  <si>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</si>
  <si>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</si>
  <si>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</si>
  <si>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CUMULATIVE TOTAL</t>
  </si>
  <si>
    <t xml:space="preserve">Portfolio Lease Expiration Schedule &amp; Major Tenant Detail</t>
  </si>
  <si>
    <t xml:space="preserve">Tenant / Unit Type</t>
  </si>
  <si>
    <t xml:space="preserve">Leased SF / Units</t>
  </si>
  <si>
    <t xml:space="preserve">% of Property</t>
  </si>
  <si>
    <t xml:space="preserve">Annual Base Rent</t>
  </si>
  <si>
    <t xml:space="preserve">Rent PSF / Per Unit</t>
  </si>
  <si>
    <t xml:space="preserve">Lease Start</t>
  </si>
  <si>
    <t xml:space="preserve">Lease Expiration</t>
  </si>
  <si>
    <t xml:space="preserve">Remaining Term (Yrs)</t>
  </si>
  <si>
    <t xml:space="preserve">Renewal Options</t>
  </si>
  <si>
    <t xml:space="preserve">Rent Escalation</t>
  </si>
  <si>
    <t xml:space="preserve">Credit Rating / Notes</t>
  </si>
  <si>
    <t xml:space="preserve">Deloitte LLP (Floors 18-24)</t>
  </si>
  <si>
    <t xml:space="preserve">82,000 SF</t>
  </si>
  <si>
    <t xml:space="preserve">$60.00/SF</t>
  </si>
  <si>
    <t xml:space="preserve">2021-01-01</t>
  </si>
  <si>
    <t xml:space="preserve">2031-12-31</t>
  </si>
  <si>
    <t xml:space="preserve">2x 5-yr</t>
  </si>
  <si>
    <t xml:space="preserve">3.0% annual</t>
  </si>
  <si>
    <t xml:space="preserve">Investment Grade</t>
  </si>
  <si>
    <t xml:space="preserve">Kirkland &amp; Ellis (Floors 12-17)</t>
  </si>
  <si>
    <t xml:space="preserve">68,000 SF</t>
  </si>
  <si>
    <t xml:space="preserve">$55.00/SF</t>
  </si>
  <si>
    <t xml:space="preserve">2020-06-01</t>
  </si>
  <si>
    <t xml:space="preserve">2030-05-31</t>
  </si>
  <si>
    <t xml:space="preserve">1x 5-yr</t>
  </si>
  <si>
    <t xml:space="preserve">2.5% annual</t>
  </si>
  <si>
    <t xml:space="preserve">Am Law 10</t>
  </si>
  <si>
    <t xml:space="preserve">Various (Floors 1-11)</t>
  </si>
  <si>
    <t xml:space="preserve">$45.00/SF</t>
  </si>
  <si>
    <t xml:space="preserve">Various</t>
  </si>
  <si>
    <t xml:space="preserve">2025-2029</t>
  </si>
  <si>
    <t xml:space="preserve">2.8 avg</t>
  </si>
  <si>
    <t xml:space="preserve">Varies</t>
  </si>
  <si>
    <t xml:space="preserve">2.5-3.0%</t>
  </si>
  <si>
    <t xml:space="preserve">Mixed credit</t>
  </si>
  <si>
    <t xml:space="preserve">Vacant</t>
  </si>
  <si>
    <t xml:space="preserve">17,000 SF</t>
  </si>
  <si>
    <t xml:space="preserve">$0.00/SF</t>
  </si>
  <si>
    <t xml:space="preserve">Marketing: $52/SF ask</t>
  </si>
  <si>
    <t xml:space="preserve">1BR Units (148)</t>
  </si>
  <si>
    <t xml:space="preserve">148 Units</t>
  </si>
  <si>
    <t xml:space="preserve">$1,600/mo</t>
  </si>
  <si>
    <t xml:space="preserve">Rolling</t>
  </si>
  <si>
    <t xml:space="preserve">0.8 avg</t>
  </si>
  <si>
    <t xml:space="preserve">MTM after 12mo</t>
  </si>
  <si>
    <t xml:space="preserve">Market rate</t>
  </si>
  <si>
    <t xml:space="preserve">Avg. income: 3.2x rent</t>
  </si>
  <si>
    <t xml:space="preserve">2BR Units (112)</t>
  </si>
  <si>
    <t xml:space="preserve">112 Units</t>
  </si>
  <si>
    <t xml:space="preserve">$2,200/mo</t>
  </si>
  <si>
    <t xml:space="preserve">0.7 avg</t>
  </si>
  <si>
    <t xml:space="preserve">Avg. income: 3.0x rent</t>
  </si>
  <si>
    <t xml:space="preserve">3BR Units (40)</t>
  </si>
  <si>
    <t xml:space="preserve">40 Units</t>
  </si>
  <si>
    <t xml:space="preserve">$2,800/mo</t>
  </si>
  <si>
    <t xml:space="preserve">0.9 avg</t>
  </si>
  <si>
    <t xml:space="preserve">Avg. income: 2.8x rent</t>
  </si>
  <si>
    <t xml:space="preserve">12 Units</t>
  </si>
  <si>
    <t xml:space="preserve">$0/mo</t>
  </si>
  <si>
    <t xml:space="preserve">2 in make-ready; 10 marketing</t>
  </si>
  <si>
    <t xml:space="preserve">Amazon (Building A)</t>
  </si>
  <si>
    <t xml:space="preserve">280,000 SF</t>
  </si>
  <si>
    <t xml:space="preserve">$7.00/SF NNN</t>
  </si>
  <si>
    <t xml:space="preserve">2021-09-01</t>
  </si>
  <si>
    <t xml:space="preserve">2031-08-31</t>
  </si>
  <si>
    <t xml:space="preserve">3x 5-yr</t>
  </si>
  <si>
    <t xml:space="preserve">Investment Grade (AA-)</t>
  </si>
  <si>
    <t xml:space="preserve">FedEx Ground (Building B)</t>
  </si>
  <si>
    <t xml:space="preserve">145,000 SF</t>
  </si>
  <si>
    <t xml:space="preserve">$7.50/SF NNN</t>
  </si>
  <si>
    <t xml:space="preserve">2022-03-01</t>
  </si>
  <si>
    <t xml:space="preserve">2032-02-28</t>
  </si>
  <si>
    <t xml:space="preserve">2.75% annual</t>
  </si>
  <si>
    <t xml:space="preserve">Investment Grade (BBB)</t>
  </si>
  <si>
    <t xml:space="preserve">Kroger (Anchor)</t>
  </si>
  <si>
    <t xml:space="preserve">65,000 SF</t>
  </si>
  <si>
    <t xml:space="preserve">$12.00/SF</t>
  </si>
  <si>
    <t xml:space="preserve">2018-05-01</t>
  </si>
  <si>
    <t xml:space="preserve">4x 5-yr</t>
  </si>
  <si>
    <t xml:space="preserve">10% every 5 yrs</t>
  </si>
  <si>
    <t xml:space="preserve">Investment Grade (BBB+)</t>
  </si>
  <si>
    <t xml:space="preserve">CVS Pharmacy</t>
  </si>
  <si>
    <t xml:space="preserve">12,000 SF</t>
  </si>
  <si>
    <t xml:space="preserve">$25.00/SF</t>
  </si>
  <si>
    <t xml:space="preserve">2019-01-01</t>
  </si>
  <si>
    <t xml:space="preserve">2029-12-31</t>
  </si>
  <si>
    <t xml:space="preserve">Flat</t>
  </si>
  <si>
    <t xml:space="preserve">In-Line Retail (18 tenants)</t>
  </si>
  <si>
    <t xml:space="preserve">102,000 SF</t>
  </si>
  <si>
    <t xml:space="preserve">$22.00/SF avg</t>
  </si>
  <si>
    <t xml:space="preserve">2025-2030</t>
  </si>
  <si>
    <t xml:space="preserve">3.2 avg</t>
  </si>
  <si>
    <t xml:space="preserve">2-3% annual</t>
  </si>
  <si>
    <t xml:space="preserve">Mixed; 3 national credit</t>
  </si>
  <si>
    <t xml:space="preserve">16,000 SF</t>
  </si>
  <si>
    <t xml:space="preserve">Former restaurant pad; LOI pending</t>
  </si>
  <si>
    <t xml:space="preserve">Cisco Systems (Bldg 1)</t>
  </si>
  <si>
    <t xml:space="preserve">85,000 SF</t>
  </si>
  <si>
    <t xml:space="preserve">2022-08-01</t>
  </si>
  <si>
    <t xml:space="preserve">2027-07-31</t>
  </si>
  <si>
    <t xml:space="preserve">1x 3-yr</t>
  </si>
  <si>
    <t xml:space="preserve">Investment Grade; subletting 20K SF</t>
  </si>
  <si>
    <t xml:space="preserve">Various Tech (Bldg 2)</t>
  </si>
  <si>
    <t xml:space="preserve">$22.50/SF</t>
  </si>
  <si>
    <t xml:space="preserve">2026-2028</t>
  </si>
  <si>
    <t xml:space="preserve">2.1 avg</t>
  </si>
  <si>
    <t xml:space="preserve">2.0-3.0%</t>
  </si>
  <si>
    <t xml:space="preserve">3 tenants; 1 downsizing risk</t>
  </si>
  <si>
    <t xml:space="preserve">25,000 SF</t>
  </si>
  <si>
    <t xml:space="preserve">Bldg 2 ground floor; weak demand</t>
  </si>
  <si>
    <t xml:space="preserve">Market Comparables &amp; Benchmarking — Q3 2025</t>
  </si>
  <si>
    <t xml:space="preserve">Submarket</t>
  </si>
  <si>
    <t xml:space="preserve">Portfolio Occupancy %</t>
  </si>
  <si>
    <t xml:space="preserve">Market Occupancy %</t>
  </si>
  <si>
    <t xml:space="preserve">Spread vs Market (bps)</t>
  </si>
  <si>
    <t xml:space="preserve">Portfolio Rent PSF</t>
  </si>
  <si>
    <t xml:space="preserve">Market Rent PSF</t>
  </si>
  <si>
    <t xml:space="preserve">Mark-to-Market %</t>
  </si>
  <si>
    <t xml:space="preserve">Portfolio Cap Rate %</t>
  </si>
  <si>
    <t xml:space="preserve">Market Cap Rate %</t>
  </si>
  <si>
    <t xml:space="preserve">Cap Rate Spread (bps)</t>
  </si>
  <si>
    <t xml:space="preserve">Replacement Cost PSF</t>
  </si>
  <si>
    <t xml:space="preserve">Cost Basis PSF</t>
  </si>
  <si>
    <t xml:space="preserve">Discount to Replacement %</t>
  </si>
  <si>
    <t xml:space="preserve">Midtown East</t>
  </si>
  <si>
    <t xml:space="preserve">$52.00</t>
  </si>
  <si>
    <t xml:space="preserve">$58.00</t>
  </si>
  <si>
    <t xml:space="preserve">See note</t>
  </si>
  <si>
    <t xml:space="preserve">$850</t>
  </si>
  <si>
    <t xml:space="preserve">$255</t>
  </si>
  <si>
    <t xml:space="preserve">East Austin</t>
  </si>
  <si>
    <t xml:space="preserve">$1,980 avg</t>
  </si>
  <si>
    <t xml:space="preserve">$2,050 avg</t>
  </si>
  <si>
    <t xml:space="preserve">$285K/unit</t>
  </si>
  <si>
    <t xml:space="preserve">$180K/unit</t>
  </si>
  <si>
    <t xml:space="preserve">IE West</t>
  </si>
  <si>
    <t xml:space="preserve">$7.25 NNN</t>
  </si>
  <si>
    <t xml:space="preserve">$8.50 NNN</t>
  </si>
  <si>
    <t xml:space="preserve">$145</t>
  </si>
  <si>
    <t xml:space="preserve">$102</t>
  </si>
  <si>
    <t xml:space="preserve">Green Hills</t>
  </si>
  <si>
    <t xml:space="preserve">$32.00 FSG</t>
  </si>
  <si>
    <t xml:space="preserve">$35.00 FSG</t>
  </si>
  <si>
    <t xml:space="preserve">$420</t>
  </si>
  <si>
    <t xml:space="preserve">$261</t>
  </si>
  <si>
    <t xml:space="preserve">South Charlotte</t>
  </si>
  <si>
    <t xml:space="preserve">$18.50 avg</t>
  </si>
  <si>
    <t xml:space="preserve">$22.00 avg</t>
  </si>
  <si>
    <t xml:space="preserve">$280</t>
  </si>
  <si>
    <t xml:space="preserve">$194</t>
  </si>
  <si>
    <t xml:space="preserve">RiNo District</t>
  </si>
  <si>
    <t xml:space="preserve">$2,250 avg</t>
  </si>
  <si>
    <t xml:space="preserve">$2,400 avg</t>
  </si>
  <si>
    <t xml:space="preserve">$310K/unit</t>
  </si>
  <si>
    <t xml:space="preserve">$219K/unit</t>
  </si>
  <si>
    <t xml:space="preserve">RTP</t>
  </si>
  <si>
    <t xml:space="preserve">$23.50 FSG</t>
  </si>
  <si>
    <t xml:space="preserve">$26.00 FSG</t>
  </si>
  <si>
    <t xml:space="preserve">$320</t>
  </si>
  <si>
    <t xml:space="preserve">$195</t>
  </si>
  <si>
    <t xml:space="preserve">North Scottsdale</t>
  </si>
  <si>
    <t xml:space="preserve">$4,800/bed</t>
  </si>
  <si>
    <t xml:space="preserve">$5,200/bed</t>
  </si>
  <si>
    <t xml:space="preserve">$195K/bed</t>
  </si>
  <si>
    <t xml:space="preserve">$170K/bed</t>
  </si>
  <si>
    <t xml:space="preserve">Rickenbacker</t>
  </si>
  <si>
    <t xml:space="preserve">$5.55 NNN</t>
  </si>
  <si>
    <t xml:space="preserve">$6.25 NNN</t>
  </si>
  <si>
    <t xml:space="preserve">$110</t>
  </si>
  <si>
    <t xml:space="preserve">$78</t>
  </si>
  <si>
    <t xml:space="preserve">Westshore</t>
  </si>
  <si>
    <t xml:space="preserve">$1,820 avg</t>
  </si>
  <si>
    <t xml:space="preserve">$1,900 avg</t>
  </si>
  <si>
    <t xml:space="preserve">$260K/unit</t>
  </si>
  <si>
    <t xml:space="preserve">$194K/unit</t>
  </si>
  <si>
    <t xml:space="preserve">South DFW</t>
  </si>
  <si>
    <t xml:space="preserve">$6.80 NNN</t>
  </si>
  <si>
    <t xml:space="preserve">$7.50 NNN</t>
  </si>
  <si>
    <t xml:space="preserve">$125</t>
  </si>
  <si>
    <t xml:space="preserve">$101</t>
  </si>
  <si>
    <t xml:space="preserve">Note: Mark-to-Market % and Discount to Replacement % require normalization across property types. See supplemental analysis.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</si>
</sst>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0.0%"/>
    <numFmt numFmtId="168" formatCode="0.00\x"/>
    <numFmt numFmtId="169" formatCode="#,##0.0"/>
    <numFmt numFmtId="170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000000"/>
      <name val="Cambria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CC000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F2F2F2"/>
      </patternFill>
    </fill>
    <fill>
      <patternFill patternType="solid">
        <fgColor rgb="FF1B2A4A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666666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3FA0"/>
      <rgbColor rgb="FFFFF2CC"/>
      <rgbColor rgb="FFD6E4F0"/>
      <rgbColor rgb="FF660066"/>
      <rgbColor rgb="FFCD853F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C45B28"/>
      <rgbColor rgb="FF666666"/>
      <rgbColor rgb="FF999999"/>
      <rgbColor rgb="FF1B2A4A"/>
      <rgbColor rgb="FF2E8B57"/>
      <rgbColor rgb="FF003300"/>
      <rgbColor rgb="FF333300"/>
      <rgbColor rgb="FF8B4513"/>
      <rgbColor rgb="FF993366"/>
      <rgbColor rgb="FF2D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R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6" t="s">
        <v>4</v>
      </c>
      <c r="B6" s="6"/>
      <c r="C6" s="7" t="s">
        <v>5</v>
      </c>
    </row>
    <row r="7" customFormat="false" ht="15" hidden="false" customHeight="false" outlineLevel="0" collapsed="false">
      <c r="A7" s="6" t="s">
        <v>6</v>
      </c>
      <c r="B7" s="6"/>
      <c r="C7" s="8" t="n">
        <v>285000000</v>
      </c>
    </row>
    <row r="8" customFormat="false" ht="15" hidden="false" customHeight="false" outlineLevel="0" collapsed="false">
      <c r="A8" s="6" t="s">
        <v>7</v>
      </c>
      <c r="B8" s="6"/>
      <c r="C8" s="8" t="n">
        <v>248500000</v>
      </c>
    </row>
    <row r="9" customFormat="false" ht="15" hidden="false" customHeight="false" outlineLevel="0" collapsed="false">
      <c r="A9" s="6" t="s">
        <v>8</v>
      </c>
      <c r="B9" s="6"/>
      <c r="C9" s="8" t="n">
        <v>36500000</v>
      </c>
    </row>
    <row r="10" customFormat="false" ht="15" hidden="false" customHeight="false" outlineLevel="0" collapsed="false">
      <c r="A10" s="6" t="s">
        <v>9</v>
      </c>
      <c r="B10" s="6"/>
      <c r="C10" s="9" t="n">
        <v>12</v>
      </c>
    </row>
    <row r="11" customFormat="false" ht="15" hidden="false" customHeight="false" outlineLevel="0" collapsed="false">
      <c r="A11" s="6" t="s">
        <v>10</v>
      </c>
      <c r="B11" s="6"/>
      <c r="C11" s="10" t="n">
        <v>412800000</v>
      </c>
    </row>
    <row r="12" customFormat="false" ht="15" hidden="false" customHeight="false" outlineLevel="0" collapsed="false">
      <c r="A12" s="6" t="s">
        <v>11</v>
      </c>
      <c r="B12" s="6"/>
      <c r="C12" s="10" t="n">
        <v>247200000</v>
      </c>
    </row>
    <row r="13" customFormat="false" ht="15" hidden="false" customHeight="false" outlineLevel="0" collapsed="false">
      <c r="A13" s="6" t="s">
        <v>12</v>
      </c>
      <c r="B13" s="6"/>
      <c r="C13" s="10" t="n">
        <v>165600000</v>
      </c>
    </row>
    <row r="14" customFormat="false" ht="15" hidden="false" customHeight="false" outlineLevel="0" collapsed="false">
      <c r="A14" s="6" t="s">
        <v>13</v>
      </c>
      <c r="B14" s="6"/>
      <c r="C14" s="11" t="n">
        <v>0.168</v>
      </c>
    </row>
    <row r="15" customFormat="false" ht="15" hidden="false" customHeight="false" outlineLevel="0" collapsed="false">
      <c r="A15" s="6" t="s">
        <v>14</v>
      </c>
      <c r="B15" s="6"/>
      <c r="C15" s="11" t="n">
        <v>0.142</v>
      </c>
    </row>
    <row r="16" customFormat="false" ht="15" hidden="false" customHeight="false" outlineLevel="0" collapsed="false">
      <c r="A16" s="6" t="s">
        <v>15</v>
      </c>
      <c r="B16" s="6"/>
      <c r="C16" s="12" t="n">
        <v>1.52</v>
      </c>
    </row>
    <row r="17" customFormat="false" ht="15" hidden="false" customHeight="false" outlineLevel="0" collapsed="false">
      <c r="A17" s="6" t="s">
        <v>16</v>
      </c>
      <c r="B17" s="6"/>
      <c r="C17" s="12" t="n">
        <v>1.38</v>
      </c>
    </row>
    <row r="18" customFormat="false" ht="15" hidden="false" customHeight="false" outlineLevel="0" collapsed="false">
      <c r="A18" s="6" t="s">
        <v>17</v>
      </c>
      <c r="B18" s="6"/>
      <c r="C18" s="12" t="n">
        <v>0.35</v>
      </c>
    </row>
    <row r="19" customFormat="false" ht="15" hidden="false" customHeight="false" outlineLevel="0" collapsed="false">
      <c r="A19" s="6" t="s">
        <v>18</v>
      </c>
      <c r="B19" s="6"/>
      <c r="C19" s="12" t="n">
        <v>1.03</v>
      </c>
    </row>
    <row r="20" customFormat="false" ht="15" hidden="false" customHeight="false" outlineLevel="0" collapsed="false">
      <c r="A20" s="6" t="s">
        <v>19</v>
      </c>
      <c r="B20" s="6"/>
      <c r="C20" s="12" t="n">
        <v>1.38</v>
      </c>
    </row>
    <row r="21" customFormat="false" ht="15" hidden="false" customHeight="false" outlineLevel="0" collapsed="false">
      <c r="A21" s="6" t="s">
        <v>20</v>
      </c>
      <c r="B21" s="6"/>
      <c r="C21" s="11" t="n">
        <v>0.058</v>
      </c>
    </row>
    <row r="22" customFormat="false" ht="15" hidden="false" customHeight="false" outlineLevel="0" collapsed="false">
      <c r="A22" s="6" t="s">
        <v>21</v>
      </c>
      <c r="B22" s="6"/>
      <c r="C22" s="11" t="n">
        <v>0.934</v>
      </c>
    </row>
    <row r="23" customFormat="false" ht="15" hidden="false" customHeight="false" outlineLevel="0" collapsed="false">
      <c r="A23" s="6" t="s">
        <v>22</v>
      </c>
      <c r="B23" s="6"/>
      <c r="C23" s="13" t="n">
        <v>1.72</v>
      </c>
    </row>
    <row r="24" customFormat="false" ht="15" hidden="false" customHeight="false" outlineLevel="0" collapsed="false">
      <c r="A24" s="6" t="s">
        <v>23</v>
      </c>
      <c r="B24" s="6"/>
      <c r="C24" s="11" t="n">
        <v>0.599</v>
      </c>
    </row>
    <row r="27" customFormat="false" ht="15" hidden="false" customHeight="false" outlineLevel="0" collapsed="false">
      <c r="A27" s="4" t="s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23.85" hidden="false" customHeight="false" outlineLevel="0" collapsed="false">
      <c r="A28" s="14" t="s">
        <v>25</v>
      </c>
      <c r="B28" s="14" t="s">
        <v>26</v>
      </c>
      <c r="C28" s="14" t="s">
        <v>27</v>
      </c>
      <c r="D28" s="14" t="s">
        <v>28</v>
      </c>
      <c r="E28" s="14" t="s">
        <v>29</v>
      </c>
      <c r="F28" s="14" t="s">
        <v>30</v>
      </c>
      <c r="G28" s="14" t="s">
        <v>31</v>
      </c>
      <c r="H28" s="14" t="s">
        <v>32</v>
      </c>
      <c r="I28" s="14" t="s">
        <v>33</v>
      </c>
      <c r="J28" s="14" t="s">
        <v>34</v>
      </c>
      <c r="K28" s="14" t="s">
        <v>35</v>
      </c>
      <c r="L28" s="14" t="s">
        <v>36</v>
      </c>
      <c r="M28" s="14" t="s">
        <v>37</v>
      </c>
      <c r="N28" s="14" t="s">
        <v>38</v>
      </c>
      <c r="O28" s="14" t="s">
        <v>39</v>
      </c>
      <c r="P28" s="14" t="s">
        <v>40</v>
      </c>
      <c r="Q28" s="14" t="s">
        <v>41</v>
      </c>
      <c r="R28" s="14" t="s">
        <v>42</v>
      </c>
    </row>
    <row r="29" customFormat="false" ht="15" hidden="false" customHeight="false" outlineLevel="0" collapsed="false">
      <c r="A29" s="15" t="s">
        <v>43</v>
      </c>
      <c r="B29" s="15" t="s">
        <v>44</v>
      </c>
      <c r="C29" s="15" t="s">
        <v>45</v>
      </c>
      <c r="D29" s="15" t="s">
        <v>46</v>
      </c>
      <c r="E29" s="16" t="n">
        <v>68500000</v>
      </c>
      <c r="F29" s="16" t="n">
        <v>74200000</v>
      </c>
      <c r="G29" s="16" t="n">
        <v>27400000</v>
      </c>
      <c r="H29" s="17" t="s">
        <v>47</v>
      </c>
      <c r="I29" s="18" t="n">
        <v>0.94</v>
      </c>
      <c r="J29" s="16" t="n">
        <v>4452500</v>
      </c>
      <c r="K29" s="18" t="n">
        <v>0.065</v>
      </c>
      <c r="L29" s="18" t="n">
        <v>0.052</v>
      </c>
      <c r="M29" s="18" t="n">
        <v>0.06</v>
      </c>
      <c r="N29" s="16" t="n">
        <v>41100000</v>
      </c>
      <c r="O29" s="18" t="n">
        <v>0.554</v>
      </c>
      <c r="P29" s="19" t="n">
        <v>1.85</v>
      </c>
      <c r="Q29" s="18" t="n">
        <v>0.192</v>
      </c>
      <c r="R29" s="20" t="n">
        <v>1.68</v>
      </c>
    </row>
    <row r="30" customFormat="false" ht="15" hidden="false" customHeight="false" outlineLevel="0" collapsed="false">
      <c r="A30" s="21" t="s">
        <v>48</v>
      </c>
      <c r="B30" s="21" t="s">
        <v>49</v>
      </c>
      <c r="C30" s="21" t="s">
        <v>50</v>
      </c>
      <c r="D30" s="21" t="s">
        <v>51</v>
      </c>
      <c r="E30" s="22" t="n">
        <v>52400000</v>
      </c>
      <c r="F30" s="22" t="n">
        <v>61800000</v>
      </c>
      <c r="G30" s="22" t="n">
        <v>18340000</v>
      </c>
      <c r="H30" s="23" t="s">
        <v>52</v>
      </c>
      <c r="I30" s="24" t="n">
        <v>0.96</v>
      </c>
      <c r="J30" s="22" t="n">
        <v>3692000</v>
      </c>
      <c r="K30" s="24" t="n">
        <v>0.07</v>
      </c>
      <c r="L30" s="24" t="n">
        <v>0.058</v>
      </c>
      <c r="M30" s="24" t="n">
        <v>0.06</v>
      </c>
      <c r="N30" s="22" t="n">
        <v>36260000</v>
      </c>
      <c r="O30" s="24" t="n">
        <v>0.587</v>
      </c>
      <c r="P30" s="25" t="n">
        <v>1.62</v>
      </c>
      <c r="Q30" s="24" t="n">
        <v>0.224</v>
      </c>
      <c r="R30" s="26" t="n">
        <v>1.82</v>
      </c>
    </row>
    <row r="31" customFormat="false" ht="15" hidden="false" customHeight="false" outlineLevel="0" collapsed="false">
      <c r="A31" s="15" t="s">
        <v>53</v>
      </c>
      <c r="B31" s="15" t="s">
        <v>54</v>
      </c>
      <c r="C31" s="15" t="s">
        <v>55</v>
      </c>
      <c r="D31" s="15" t="s">
        <v>56</v>
      </c>
      <c r="E31" s="16" t="n">
        <v>41200000</v>
      </c>
      <c r="F31" s="16" t="n">
        <v>48600000</v>
      </c>
      <c r="G31" s="16" t="n">
        <v>12360000</v>
      </c>
      <c r="H31" s="17" t="s">
        <v>57</v>
      </c>
      <c r="I31" s="18" t="n">
        <v>1</v>
      </c>
      <c r="J31" s="16" t="n">
        <v>2884000</v>
      </c>
      <c r="K31" s="18" t="n">
        <v>0.07</v>
      </c>
      <c r="L31" s="18" t="n">
        <v>0.056</v>
      </c>
      <c r="M31" s="18" t="n">
        <v>0.059</v>
      </c>
      <c r="N31" s="16" t="n">
        <v>28840000</v>
      </c>
      <c r="O31" s="18" t="n">
        <v>0.593</v>
      </c>
      <c r="P31" s="19" t="n">
        <v>2.14</v>
      </c>
      <c r="Q31" s="18" t="n">
        <v>0.258</v>
      </c>
      <c r="R31" s="20" t="n">
        <v>1.95</v>
      </c>
    </row>
    <row r="32" customFormat="false" ht="15" hidden="false" customHeight="false" outlineLevel="0" collapsed="false">
      <c r="A32" s="21" t="s">
        <v>58</v>
      </c>
      <c r="B32" s="21" t="s">
        <v>59</v>
      </c>
      <c r="C32" s="21" t="s">
        <v>60</v>
      </c>
      <c r="D32" s="21" t="s">
        <v>61</v>
      </c>
      <c r="E32" s="22" t="n">
        <v>28900000</v>
      </c>
      <c r="F32" s="22" t="n">
        <v>31400000</v>
      </c>
      <c r="G32" s="22" t="n">
        <v>11560000</v>
      </c>
      <c r="H32" s="23" t="s">
        <v>62</v>
      </c>
      <c r="I32" s="24" t="n">
        <v>0.97</v>
      </c>
      <c r="J32" s="22" t="n">
        <v>1879000</v>
      </c>
      <c r="K32" s="24" t="n">
        <v>0.065</v>
      </c>
      <c r="L32" s="24" t="n">
        <v>0.054</v>
      </c>
      <c r="M32" s="24" t="n">
        <v>0.06</v>
      </c>
      <c r="N32" s="22" t="n">
        <v>17340000</v>
      </c>
      <c r="O32" s="24" t="n">
        <v>0.552</v>
      </c>
      <c r="P32" s="25" t="n">
        <v>1.89</v>
      </c>
      <c r="Q32" s="24" t="n">
        <v>0.148</v>
      </c>
      <c r="R32" s="26" t="n">
        <v>1.42</v>
      </c>
    </row>
    <row r="33" customFormat="false" ht="15" hidden="false" customHeight="false" outlineLevel="0" collapsed="false">
      <c r="A33" s="15" t="s">
        <v>63</v>
      </c>
      <c r="B33" s="15" t="s">
        <v>64</v>
      </c>
      <c r="C33" s="15" t="s">
        <v>65</v>
      </c>
      <c r="D33" s="15" t="s">
        <v>66</v>
      </c>
      <c r="E33" s="16" t="n">
        <v>35600000</v>
      </c>
      <c r="F33" s="16" t="n">
        <v>33800000</v>
      </c>
      <c r="G33" s="16" t="n">
        <v>14240000</v>
      </c>
      <c r="H33" s="17" t="s">
        <v>67</v>
      </c>
      <c r="I33" s="18" t="n">
        <v>0.92</v>
      </c>
      <c r="J33" s="16" t="n">
        <v>2136000</v>
      </c>
      <c r="K33" s="18" t="n">
        <v>0.06</v>
      </c>
      <c r="L33" s="18" t="n">
        <v>0.055</v>
      </c>
      <c r="M33" s="18" t="n">
        <v>0.063</v>
      </c>
      <c r="N33" s="16" t="n">
        <v>21360000</v>
      </c>
      <c r="O33" s="18" t="n">
        <v>0.632</v>
      </c>
      <c r="P33" s="19" t="n">
        <v>1.38</v>
      </c>
      <c r="Q33" s="18" t="n">
        <v>0.068</v>
      </c>
      <c r="R33" s="20" t="n">
        <v>1.12</v>
      </c>
    </row>
    <row r="34" customFormat="false" ht="15" hidden="false" customHeight="false" outlineLevel="0" collapsed="false">
      <c r="A34" s="21" t="s">
        <v>68</v>
      </c>
      <c r="B34" s="21" t="s">
        <v>69</v>
      </c>
      <c r="C34" s="21" t="s">
        <v>70</v>
      </c>
      <c r="D34" s="21" t="s">
        <v>71</v>
      </c>
      <c r="E34" s="22" t="n">
        <v>44800000</v>
      </c>
      <c r="F34" s="22" t="n">
        <v>49200000</v>
      </c>
      <c r="G34" s="22" t="n">
        <v>15680000</v>
      </c>
      <c r="H34" s="23" t="s">
        <v>72</v>
      </c>
      <c r="I34" s="24" t="n">
        <v>0.93</v>
      </c>
      <c r="J34" s="22" t="n">
        <v>3136000</v>
      </c>
      <c r="K34" s="24" t="n">
        <v>0.07</v>
      </c>
      <c r="L34" s="24" t="n">
        <v>0.058</v>
      </c>
      <c r="M34" s="24" t="n">
        <v>0.064</v>
      </c>
      <c r="N34" s="22" t="n">
        <v>29520000</v>
      </c>
      <c r="O34" s="24" t="n">
        <v>0.6</v>
      </c>
      <c r="P34" s="25" t="n">
        <v>1.55</v>
      </c>
      <c r="Q34" s="24" t="n">
        <v>0.175</v>
      </c>
      <c r="R34" s="26" t="n">
        <v>1.58</v>
      </c>
    </row>
    <row r="35" customFormat="false" ht="15" hidden="false" customHeight="false" outlineLevel="0" collapsed="false">
      <c r="A35" s="15" t="s">
        <v>73</v>
      </c>
      <c r="B35" s="15" t="s">
        <v>74</v>
      </c>
      <c r="C35" s="15" t="s">
        <v>75</v>
      </c>
      <c r="D35" s="15" t="s">
        <v>76</v>
      </c>
      <c r="E35" s="16" t="n">
        <v>31500000</v>
      </c>
      <c r="F35" s="16" t="n">
        <v>28700000</v>
      </c>
      <c r="G35" s="16" t="n">
        <v>12600000</v>
      </c>
      <c r="H35" s="17" t="s">
        <v>77</v>
      </c>
      <c r="I35" s="18" t="n">
        <v>0.86</v>
      </c>
      <c r="J35" s="16" t="n">
        <v>1890000</v>
      </c>
      <c r="K35" s="18" t="n">
        <v>0.06</v>
      </c>
      <c r="L35" s="18" t="n">
        <v>0.052</v>
      </c>
      <c r="M35" s="18" t="n">
        <v>0.066</v>
      </c>
      <c r="N35" s="16" t="n">
        <v>18900000</v>
      </c>
      <c r="O35" s="18" t="n">
        <v>0.659</v>
      </c>
      <c r="P35" s="19" t="n">
        <v>1.24</v>
      </c>
      <c r="Q35" s="18" t="n">
        <v>-0.032</v>
      </c>
      <c r="R35" s="20" t="n">
        <v>0.88</v>
      </c>
    </row>
    <row r="36" customFormat="false" ht="15" hidden="false" customHeight="false" outlineLevel="0" collapsed="false">
      <c r="A36" s="21" t="s">
        <v>78</v>
      </c>
      <c r="B36" s="21" t="s">
        <v>79</v>
      </c>
      <c r="C36" s="21" t="s">
        <v>80</v>
      </c>
      <c r="D36" s="21" t="s">
        <v>81</v>
      </c>
      <c r="E36" s="22" t="n">
        <v>22800000</v>
      </c>
      <c r="F36" s="22" t="n">
        <v>24900000</v>
      </c>
      <c r="G36" s="22" t="n">
        <v>6840000</v>
      </c>
      <c r="H36" s="23" t="s">
        <v>82</v>
      </c>
      <c r="I36" s="24" t="n">
        <v>0.91</v>
      </c>
      <c r="J36" s="22" t="n">
        <v>1596000</v>
      </c>
      <c r="K36" s="24" t="n">
        <v>0.07</v>
      </c>
      <c r="L36" s="24" t="n">
        <v>0.062</v>
      </c>
      <c r="M36" s="24" t="n">
        <v>0.064</v>
      </c>
      <c r="N36" s="22" t="n">
        <v>15960000</v>
      </c>
      <c r="O36" s="24" t="n">
        <v>0.641</v>
      </c>
      <c r="P36" s="25" t="n">
        <v>1.48</v>
      </c>
      <c r="Q36" s="24" t="n">
        <v>0.138</v>
      </c>
      <c r="R36" s="26" t="n">
        <v>1.45</v>
      </c>
    </row>
    <row r="37" customFormat="false" ht="15" hidden="false" customHeight="false" outlineLevel="0" collapsed="false">
      <c r="A37" s="15" t="s">
        <v>83</v>
      </c>
      <c r="B37" s="15" t="s">
        <v>84</v>
      </c>
      <c r="C37" s="15" t="s">
        <v>85</v>
      </c>
      <c r="D37" s="15" t="s">
        <v>86</v>
      </c>
      <c r="E37" s="16" t="n">
        <v>38400000</v>
      </c>
      <c r="F37" s="16" t="n">
        <v>43500000</v>
      </c>
      <c r="G37" s="16" t="n">
        <v>11520000</v>
      </c>
      <c r="H37" s="17" t="s">
        <v>87</v>
      </c>
      <c r="I37" s="18" t="n">
        <v>1</v>
      </c>
      <c r="J37" s="16" t="n">
        <v>2688000</v>
      </c>
      <c r="K37" s="18" t="n">
        <v>0.07</v>
      </c>
      <c r="L37" s="18" t="n">
        <v>0.058</v>
      </c>
      <c r="M37" s="18" t="n">
        <v>0.062</v>
      </c>
      <c r="N37" s="16" t="n">
        <v>26880000</v>
      </c>
      <c r="O37" s="18" t="n">
        <v>0.618</v>
      </c>
      <c r="P37" s="19" t="n">
        <v>1.82</v>
      </c>
      <c r="Q37" s="18" t="n">
        <v>0.215</v>
      </c>
      <c r="R37" s="20" t="n">
        <v>1.72</v>
      </c>
    </row>
    <row r="38" customFormat="false" ht="15" hidden="false" customHeight="false" outlineLevel="0" collapsed="false">
      <c r="A38" s="21" t="s">
        <v>88</v>
      </c>
      <c r="B38" s="21" t="s">
        <v>89</v>
      </c>
      <c r="C38" s="21" t="s">
        <v>90</v>
      </c>
      <c r="D38" s="21" t="s">
        <v>91</v>
      </c>
      <c r="E38" s="22" t="n">
        <v>36200000</v>
      </c>
      <c r="F38" s="22" t="n">
        <v>39100000</v>
      </c>
      <c r="G38" s="22" t="n">
        <v>12670000</v>
      </c>
      <c r="H38" s="23" t="s">
        <v>92</v>
      </c>
      <c r="I38" s="24" t="n">
        <v>0.95</v>
      </c>
      <c r="J38" s="22" t="n">
        <v>2534000</v>
      </c>
      <c r="K38" s="24" t="n">
        <v>0.07</v>
      </c>
      <c r="L38" s="24" t="n">
        <v>0.06</v>
      </c>
      <c r="M38" s="24" t="n">
        <v>0.065</v>
      </c>
      <c r="N38" s="22" t="n">
        <v>23530000</v>
      </c>
      <c r="O38" s="24" t="n">
        <v>0.602</v>
      </c>
      <c r="P38" s="25" t="n">
        <v>1.58</v>
      </c>
      <c r="Q38" s="24" t="n">
        <v>0.182</v>
      </c>
      <c r="R38" s="26" t="n">
        <v>1.55</v>
      </c>
    </row>
    <row r="39" customFormat="false" ht="15" hidden="false" customHeight="false" outlineLevel="0" collapsed="false">
      <c r="A39" s="15" t="s">
        <v>93</v>
      </c>
      <c r="B39" s="15" t="s">
        <v>94</v>
      </c>
      <c r="C39" s="15" t="s">
        <v>95</v>
      </c>
      <c r="D39" s="15" t="s">
        <v>96</v>
      </c>
      <c r="E39" s="16" t="n">
        <v>29800000</v>
      </c>
      <c r="F39" s="16" t="n">
        <v>34200000</v>
      </c>
      <c r="G39" s="16" t="n">
        <v>8940000</v>
      </c>
      <c r="H39" s="17" t="s">
        <v>97</v>
      </c>
      <c r="I39" s="18" t="n">
        <v>1</v>
      </c>
      <c r="J39" s="16" t="n">
        <v>2086000</v>
      </c>
      <c r="K39" s="18" t="n">
        <v>0.07</v>
      </c>
      <c r="L39" s="18" t="n">
        <v>0.062</v>
      </c>
      <c r="M39" s="18" t="n">
        <v>0.061</v>
      </c>
      <c r="N39" s="16" t="n">
        <v>20860000</v>
      </c>
      <c r="O39" s="18" t="n">
        <v>0.61</v>
      </c>
      <c r="P39" s="19" t="n">
        <v>1.72</v>
      </c>
      <c r="Q39" s="18" t="n">
        <v>0.198</v>
      </c>
      <c r="R39" s="20" t="n">
        <v>1.62</v>
      </c>
    </row>
    <row r="40" customFormat="false" ht="15" hidden="false" customHeight="false" outlineLevel="0" collapsed="false">
      <c r="A40" s="21" t="s">
        <v>98</v>
      </c>
      <c r="B40" s="21" t="s">
        <v>99</v>
      </c>
      <c r="C40" s="21" t="s">
        <v>100</v>
      </c>
      <c r="D40" s="21" t="s">
        <v>101</v>
      </c>
      <c r="E40" s="22" t="n">
        <v>52800000</v>
      </c>
      <c r="F40" s="22" t="n">
        <v>43400000</v>
      </c>
      <c r="G40" s="22" t="n">
        <v>26400000</v>
      </c>
      <c r="H40" s="23" t="s">
        <v>102</v>
      </c>
      <c r="I40" s="24" t="n">
        <v>0</v>
      </c>
      <c r="J40" s="22" t="n">
        <v>0</v>
      </c>
      <c r="K40" s="24" t="n">
        <v>0</v>
      </c>
      <c r="L40" s="24" t="n">
        <v>0</v>
      </c>
      <c r="M40" s="24" t="n">
        <v>0</v>
      </c>
      <c r="N40" s="22" t="n">
        <v>21120000</v>
      </c>
      <c r="O40" s="24" t="n">
        <v>0.487</v>
      </c>
      <c r="P40" s="25" t="n">
        <v>0</v>
      </c>
      <c r="Q40" s="24" t="n">
        <v>-0.085</v>
      </c>
      <c r="R40" s="26" t="n">
        <v>0.78</v>
      </c>
    </row>
    <row r="41" customFormat="false" ht="15" hidden="false" customHeight="false" outlineLevel="0" collapsed="false">
      <c r="A41" s="27" t="s">
        <v>103</v>
      </c>
      <c r="B41" s="27"/>
      <c r="C41" s="27"/>
      <c r="D41" s="27"/>
      <c r="E41" s="28" t="n">
        <f aca="false">SUM(E29:E40)</f>
        <v>482900000</v>
      </c>
      <c r="F41" s="28" t="n">
        <f aca="false">SUM(F29:F40)</f>
        <v>512800000</v>
      </c>
      <c r="G41" s="28" t="n">
        <f aca="false">SUM(G29:G40)</f>
        <v>178550000</v>
      </c>
      <c r="H41" s="27"/>
      <c r="I41" s="29" t="n">
        <v>0.934</v>
      </c>
      <c r="J41" s="28" t="n">
        <f aca="false">SUM(J29:J40)</f>
        <v>28973500</v>
      </c>
      <c r="K41" s="29" t="n">
        <v>0.067</v>
      </c>
      <c r="L41" s="29" t="n">
        <v>0.056</v>
      </c>
      <c r="M41" s="29" t="n">
        <v>0.058</v>
      </c>
      <c r="N41" s="28" t="n">
        <f aca="false">SUM(N29:N40)</f>
        <v>301670000</v>
      </c>
      <c r="O41" s="29" t="n">
        <v>0.599</v>
      </c>
      <c r="P41" s="30" t="n">
        <v>1.72</v>
      </c>
      <c r="Q41" s="29" t="n">
        <v>0.168</v>
      </c>
      <c r="R41" s="31" t="n">
        <v>1.52</v>
      </c>
    </row>
  </sheetData>
  <mergeCells count="21">
    <mergeCell ref="A1:J1"/>
    <mergeCell ref="A2:J2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A7A"/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19" min="3" style="0" width="16"/>
  </cols>
  <sheetData>
    <row r="1" customFormat="false" ht="17.35" hidden="false" customHeight="fals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23.85" hidden="false" customHeight="false" outlineLevel="0" collapsed="false">
      <c r="A3" s="14" t="s">
        <v>25</v>
      </c>
      <c r="B3" s="14" t="s">
        <v>105</v>
      </c>
      <c r="C3" s="14" t="s">
        <v>106</v>
      </c>
      <c r="D3" s="14" t="s">
        <v>107</v>
      </c>
      <c r="E3" s="14" t="s">
        <v>108</v>
      </c>
      <c r="F3" s="14" t="s">
        <v>109</v>
      </c>
      <c r="G3" s="14" t="s">
        <v>110</v>
      </c>
      <c r="H3" s="14" t="s">
        <v>111</v>
      </c>
      <c r="I3" s="14" t="s">
        <v>112</v>
      </c>
      <c r="J3" s="14" t="s">
        <v>113</v>
      </c>
      <c r="K3" s="14" t="s">
        <v>114</v>
      </c>
      <c r="L3" s="14" t="s">
        <v>115</v>
      </c>
      <c r="M3" s="14" t="s">
        <v>116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121</v>
      </c>
      <c r="S3" s="14" t="s">
        <v>122</v>
      </c>
    </row>
    <row r="4" customFormat="false" ht="15" hidden="false" customHeight="false" outlineLevel="0" collapsed="false">
      <c r="A4" s="15" t="s">
        <v>43</v>
      </c>
      <c r="B4" s="15" t="s">
        <v>123</v>
      </c>
      <c r="C4" s="16" t="n">
        <v>5640000</v>
      </c>
      <c r="D4" s="16" t="n">
        <v>-338400</v>
      </c>
      <c r="E4" s="32" t="n">
        <f aca="false">C4+D4</f>
        <v>5301600</v>
      </c>
      <c r="F4" s="16" t="n">
        <v>282000</v>
      </c>
      <c r="G4" s="32" t="n">
        <f aca="false">E4+F4</f>
        <v>5583600</v>
      </c>
      <c r="H4" s="16" t="n">
        <v>395000</v>
      </c>
      <c r="I4" s="16" t="n">
        <v>98000</v>
      </c>
      <c r="J4" s="16" t="n">
        <v>225000</v>
      </c>
      <c r="K4" s="16" t="n">
        <v>168000</v>
      </c>
      <c r="L4" s="16" t="n">
        <v>169200</v>
      </c>
      <c r="M4" s="16" t="n">
        <v>112800</v>
      </c>
      <c r="N4" s="32" t="n">
        <f aca="false">SUM(H4:M4)</f>
        <v>1168000</v>
      </c>
      <c r="O4" s="32" t="n">
        <f aca="false">G4-N4</f>
        <v>4415600</v>
      </c>
      <c r="P4" s="33" t="n">
        <f aca="false">IF(G4=0,0,O4/G4)</f>
        <v>0.790815961028727</v>
      </c>
      <c r="Q4" s="16" t="n">
        <v>312000</v>
      </c>
      <c r="R4" s="16" t="n">
        <v>141000</v>
      </c>
      <c r="S4" s="32" t="n">
        <f aca="false">O4-Q4-R4</f>
        <v>3962600</v>
      </c>
    </row>
    <row r="5" customFormat="false" ht="15" hidden="false" customHeight="false" outlineLevel="0" collapsed="false">
      <c r="A5" s="21" t="s">
        <v>43</v>
      </c>
      <c r="B5" s="21" t="s">
        <v>124</v>
      </c>
      <c r="C5" s="22" t="n">
        <v>5500000</v>
      </c>
      <c r="D5" s="22" t="n">
        <v>-275000</v>
      </c>
      <c r="E5" s="34" t="n">
        <f aca="false">C5+D5</f>
        <v>5225000</v>
      </c>
      <c r="F5" s="22" t="n">
        <v>260000</v>
      </c>
      <c r="G5" s="34" t="n">
        <f aca="false">E5+F5</f>
        <v>5485000</v>
      </c>
      <c r="H5" s="22" t="n">
        <v>385000</v>
      </c>
      <c r="I5" s="22" t="n">
        <v>92000</v>
      </c>
      <c r="J5" s="22" t="n">
        <v>210000</v>
      </c>
      <c r="K5" s="22" t="n">
        <v>155000</v>
      </c>
      <c r="L5" s="22" t="n">
        <v>165000</v>
      </c>
      <c r="M5" s="22" t="n">
        <v>110000</v>
      </c>
      <c r="N5" s="34" t="n">
        <f aca="false">SUM(H5:M5)</f>
        <v>1117000</v>
      </c>
      <c r="O5" s="34" t="n">
        <f aca="false">G5-N5</f>
        <v>4368000</v>
      </c>
      <c r="P5" s="35" t="n">
        <f aca="false">IF(G5=0,0,O5/G5)</f>
        <v>0.796353691886965</v>
      </c>
      <c r="Q5" s="22" t="n">
        <v>280000</v>
      </c>
      <c r="R5" s="22" t="n">
        <v>137500</v>
      </c>
      <c r="S5" s="34" t="n">
        <f aca="false">O5-Q5-R5</f>
        <v>3950500</v>
      </c>
    </row>
    <row r="6" customFormat="false" ht="15" hidden="false" customHeight="false" outlineLevel="0" collapsed="false">
      <c r="A6" s="36" t="s">
        <v>43</v>
      </c>
      <c r="B6" s="36" t="s">
        <v>125</v>
      </c>
      <c r="C6" s="37" t="n">
        <f aca="false">C4-C5</f>
        <v>140000</v>
      </c>
      <c r="D6" s="37" t="n">
        <f aca="false">D4-D5</f>
        <v>-63400</v>
      </c>
      <c r="E6" s="37" t="n">
        <f aca="false">E4-E5</f>
        <v>76600</v>
      </c>
      <c r="F6" s="37" t="n">
        <f aca="false">F4-F5</f>
        <v>22000</v>
      </c>
      <c r="G6" s="37" t="n">
        <f aca="false">G4-G5</f>
        <v>98600</v>
      </c>
      <c r="H6" s="37" t="n">
        <f aca="false">H4-H5</f>
        <v>10000</v>
      </c>
      <c r="I6" s="37" t="n">
        <f aca="false">I4-I5</f>
        <v>6000</v>
      </c>
      <c r="J6" s="37" t="n">
        <f aca="false">J4-J5</f>
        <v>15000</v>
      </c>
      <c r="K6" s="37" t="n">
        <f aca="false">K4-K5</f>
        <v>13000</v>
      </c>
      <c r="L6" s="37" t="n">
        <f aca="false">L4-L5</f>
        <v>4200</v>
      </c>
      <c r="M6" s="37" t="n">
        <f aca="false">M4-M5</f>
        <v>2800</v>
      </c>
      <c r="N6" s="37" t="n">
        <f aca="false">N4-N5</f>
        <v>51000</v>
      </c>
      <c r="O6" s="37" t="n">
        <f aca="false">O4-O5</f>
        <v>47600</v>
      </c>
      <c r="P6" s="37" t="n">
        <f aca="false">P4-P5</f>
        <v>-0.0055377308582375</v>
      </c>
      <c r="Q6" s="37" t="n">
        <f aca="false">Q4-Q5</f>
        <v>32000</v>
      </c>
      <c r="R6" s="37" t="n">
        <f aca="false">R4-R5</f>
        <v>3500</v>
      </c>
      <c r="S6" s="37" t="n">
        <f aca="false">S4-S5</f>
        <v>12100</v>
      </c>
    </row>
    <row r="7" customFormat="false" ht="15" hidden="false" customHeight="false" outlineLevel="0" collapsed="false">
      <c r="A7" s="15" t="s">
        <v>48</v>
      </c>
      <c r="B7" s="15" t="s">
        <v>123</v>
      </c>
      <c r="C7" s="16" t="n">
        <v>4872000</v>
      </c>
      <c r="D7" s="16" t="n">
        <v>-194880</v>
      </c>
      <c r="E7" s="32" t="n">
        <f aca="false">C7+D7</f>
        <v>4677120</v>
      </c>
      <c r="F7" s="16" t="n">
        <v>243600</v>
      </c>
      <c r="G7" s="32" t="n">
        <f aca="false">E7+F7</f>
        <v>4920720</v>
      </c>
      <c r="H7" s="16" t="n">
        <v>341000</v>
      </c>
      <c r="I7" s="16" t="n">
        <v>82000</v>
      </c>
      <c r="J7" s="16" t="n">
        <v>168000</v>
      </c>
      <c r="K7" s="16" t="n">
        <v>146000</v>
      </c>
      <c r="L7" s="16" t="n">
        <v>146160</v>
      </c>
      <c r="M7" s="16" t="n">
        <v>97440</v>
      </c>
      <c r="N7" s="32" t="n">
        <f aca="false">SUM(H7:M7)</f>
        <v>980600</v>
      </c>
      <c r="O7" s="32" t="n">
        <f aca="false">G7-N7</f>
        <v>3940120</v>
      </c>
      <c r="P7" s="33" t="n">
        <f aca="false">IF(G7=0,0,O7/G7)</f>
        <v>0.800720219805232</v>
      </c>
      <c r="Q7" s="16" t="n">
        <v>265000</v>
      </c>
      <c r="R7" s="16" t="n">
        <v>121800</v>
      </c>
      <c r="S7" s="32" t="n">
        <f aca="false">O7-Q7-R7</f>
        <v>3553320</v>
      </c>
    </row>
    <row r="8" customFormat="false" ht="15" hidden="false" customHeight="false" outlineLevel="0" collapsed="false">
      <c r="A8" s="21" t="s">
        <v>48</v>
      </c>
      <c r="B8" s="21" t="s">
        <v>124</v>
      </c>
      <c r="C8" s="22" t="n">
        <v>4750000</v>
      </c>
      <c r="D8" s="22" t="n">
        <v>-237500</v>
      </c>
      <c r="E8" s="34" t="n">
        <f aca="false">C8+D8</f>
        <v>4512500</v>
      </c>
      <c r="F8" s="22" t="n">
        <v>230000</v>
      </c>
      <c r="G8" s="34" t="n">
        <f aca="false">E8+F8</f>
        <v>4742500</v>
      </c>
      <c r="H8" s="22" t="n">
        <v>332500</v>
      </c>
      <c r="I8" s="22" t="n">
        <v>76000</v>
      </c>
      <c r="J8" s="22" t="n">
        <v>160000</v>
      </c>
      <c r="K8" s="22" t="n">
        <v>138000</v>
      </c>
      <c r="L8" s="22" t="n">
        <v>142500</v>
      </c>
      <c r="M8" s="22" t="n">
        <v>95000</v>
      </c>
      <c r="N8" s="34" t="n">
        <f aca="false">SUM(H8:M8)</f>
        <v>944000</v>
      </c>
      <c r="O8" s="34" t="n">
        <f aca="false">G8-N8</f>
        <v>3798500</v>
      </c>
      <c r="P8" s="35" t="n">
        <f aca="false">IF(G8=0,0,O8/G8)</f>
        <v>0.800948866631523</v>
      </c>
      <c r="Q8" s="22" t="n">
        <v>245000</v>
      </c>
      <c r="R8" s="22" t="n">
        <v>118750</v>
      </c>
      <c r="S8" s="34" t="n">
        <f aca="false">O8-Q8-R8</f>
        <v>3434750</v>
      </c>
    </row>
    <row r="9" customFormat="false" ht="15" hidden="false" customHeight="false" outlineLevel="0" collapsed="false">
      <c r="A9" s="36" t="s">
        <v>48</v>
      </c>
      <c r="B9" s="36" t="s">
        <v>125</v>
      </c>
      <c r="C9" s="37" t="n">
        <f aca="false">C7-C8</f>
        <v>122000</v>
      </c>
      <c r="D9" s="37" t="n">
        <f aca="false">D7-D8</f>
        <v>42620</v>
      </c>
      <c r="E9" s="37" t="n">
        <f aca="false">E7-E8</f>
        <v>164620</v>
      </c>
      <c r="F9" s="37" t="n">
        <f aca="false">F7-F8</f>
        <v>13600</v>
      </c>
      <c r="G9" s="37" t="n">
        <f aca="false">G7-G8</f>
        <v>178220</v>
      </c>
      <c r="H9" s="37" t="n">
        <f aca="false">H7-H8</f>
        <v>8500</v>
      </c>
      <c r="I9" s="37" t="n">
        <f aca="false">I7-I8</f>
        <v>6000</v>
      </c>
      <c r="J9" s="37" t="n">
        <f aca="false">J7-J8</f>
        <v>8000</v>
      </c>
      <c r="K9" s="37" t="n">
        <f aca="false">K7-K8</f>
        <v>8000</v>
      </c>
      <c r="L9" s="37" t="n">
        <f aca="false">L7-L8</f>
        <v>3660</v>
      </c>
      <c r="M9" s="37" t="n">
        <f aca="false">M7-M8</f>
        <v>2440</v>
      </c>
      <c r="N9" s="37" t="n">
        <f aca="false">N7-N8</f>
        <v>36600</v>
      </c>
      <c r="O9" s="37" t="n">
        <f aca="false">O7-O8</f>
        <v>141620</v>
      </c>
      <c r="P9" s="37" t="n">
        <f aca="false">P7-P8</f>
        <v>-0.000228646826291645</v>
      </c>
      <c r="Q9" s="37" t="n">
        <f aca="false">Q7-Q8</f>
        <v>20000</v>
      </c>
      <c r="R9" s="37" t="n">
        <f aca="false">R7-R8</f>
        <v>3050</v>
      </c>
      <c r="S9" s="37" t="n">
        <f aca="false">S7-S8</f>
        <v>118570</v>
      </c>
    </row>
    <row r="10" customFormat="false" ht="15" hidden="false" customHeight="false" outlineLevel="0" collapsed="false">
      <c r="A10" s="15" t="s">
        <v>53</v>
      </c>
      <c r="B10" s="15" t="s">
        <v>123</v>
      </c>
      <c r="C10" s="16" t="n">
        <v>3090000</v>
      </c>
      <c r="D10" s="16" t="n">
        <v>0</v>
      </c>
      <c r="E10" s="32" t="n">
        <f aca="false">C10+D10</f>
        <v>3090000</v>
      </c>
      <c r="F10" s="16" t="n">
        <v>92700</v>
      </c>
      <c r="G10" s="32" t="n">
        <f aca="false">E10+F10</f>
        <v>3182700</v>
      </c>
      <c r="H10" s="16" t="n">
        <v>185000</v>
      </c>
      <c r="I10" s="16" t="n">
        <v>52000</v>
      </c>
      <c r="J10" s="16" t="n">
        <v>62000</v>
      </c>
      <c r="K10" s="16" t="n">
        <v>92700</v>
      </c>
      <c r="L10" s="16" t="n">
        <v>92700</v>
      </c>
      <c r="M10" s="16" t="n">
        <v>61800</v>
      </c>
      <c r="N10" s="32" t="n">
        <f aca="false">SUM(H10:M10)</f>
        <v>546200</v>
      </c>
      <c r="O10" s="32" t="n">
        <f aca="false">G10-N10</f>
        <v>2636500</v>
      </c>
      <c r="P10" s="33" t="n">
        <f aca="false">IF(G10=0,0,O10/G10)</f>
        <v>0.828384704810381</v>
      </c>
      <c r="Q10" s="16" t="n">
        <v>185000</v>
      </c>
      <c r="R10" s="16" t="n">
        <v>77250</v>
      </c>
      <c r="S10" s="32" t="n">
        <f aca="false">O10-Q10-R10</f>
        <v>2374250</v>
      </c>
    </row>
    <row r="11" customFormat="false" ht="15" hidden="false" customHeight="false" outlineLevel="0" collapsed="false">
      <c r="A11" s="21" t="s">
        <v>53</v>
      </c>
      <c r="B11" s="21" t="s">
        <v>124</v>
      </c>
      <c r="C11" s="22" t="n">
        <v>3000000</v>
      </c>
      <c r="D11" s="22" t="n">
        <v>-30000</v>
      </c>
      <c r="E11" s="34" t="n">
        <f aca="false">C11+D11</f>
        <v>2970000</v>
      </c>
      <c r="F11" s="22" t="n">
        <v>85000</v>
      </c>
      <c r="G11" s="34" t="n">
        <f aca="false">E11+F11</f>
        <v>3055000</v>
      </c>
      <c r="H11" s="22" t="n">
        <v>180000</v>
      </c>
      <c r="I11" s="22" t="n">
        <v>50000</v>
      </c>
      <c r="J11" s="22" t="n">
        <v>58000</v>
      </c>
      <c r="K11" s="22" t="n">
        <v>88000</v>
      </c>
      <c r="L11" s="22" t="n">
        <v>90000</v>
      </c>
      <c r="M11" s="22" t="n">
        <v>60000</v>
      </c>
      <c r="N11" s="34" t="n">
        <f aca="false">SUM(H11:M11)</f>
        <v>526000</v>
      </c>
      <c r="O11" s="34" t="n">
        <f aca="false">G11-N11</f>
        <v>2529000</v>
      </c>
      <c r="P11" s="35" t="n">
        <f aca="false">IF(G11=0,0,O11/G11)</f>
        <v>0.827823240589198</v>
      </c>
      <c r="Q11" s="22" t="n">
        <v>170000</v>
      </c>
      <c r="R11" s="22" t="n">
        <v>76250</v>
      </c>
      <c r="S11" s="34" t="n">
        <f aca="false">O11-Q11-R11</f>
        <v>2282750</v>
      </c>
    </row>
    <row r="12" customFormat="false" ht="15" hidden="false" customHeight="false" outlineLevel="0" collapsed="false">
      <c r="A12" s="36" t="s">
        <v>53</v>
      </c>
      <c r="B12" s="36" t="s">
        <v>125</v>
      </c>
      <c r="C12" s="37" t="n">
        <f aca="false">C10-C11</f>
        <v>90000</v>
      </c>
      <c r="D12" s="37" t="n">
        <f aca="false">D10-D11</f>
        <v>30000</v>
      </c>
      <c r="E12" s="37" t="n">
        <f aca="false">E10-E11</f>
        <v>120000</v>
      </c>
      <c r="F12" s="37" t="n">
        <f aca="false">F10-F11</f>
        <v>7700</v>
      </c>
      <c r="G12" s="37" t="n">
        <f aca="false">G10-G11</f>
        <v>127700</v>
      </c>
      <c r="H12" s="37" t="n">
        <f aca="false">H10-H11</f>
        <v>5000</v>
      </c>
      <c r="I12" s="37" t="n">
        <f aca="false">I10-I11</f>
        <v>2000</v>
      </c>
      <c r="J12" s="37" t="n">
        <f aca="false">J10-J11</f>
        <v>4000</v>
      </c>
      <c r="K12" s="37" t="n">
        <f aca="false">K10-K11</f>
        <v>4700</v>
      </c>
      <c r="L12" s="37" t="n">
        <f aca="false">L10-L11</f>
        <v>2700</v>
      </c>
      <c r="M12" s="37" t="n">
        <f aca="false">M10-M11</f>
        <v>1800</v>
      </c>
      <c r="N12" s="37" t="n">
        <f aca="false">N10-N11</f>
        <v>20200</v>
      </c>
      <c r="O12" s="37" t="n">
        <f aca="false">O10-O11</f>
        <v>107500</v>
      </c>
      <c r="P12" s="37" t="n">
        <f aca="false">P10-P11</f>
        <v>0.000561464221183194</v>
      </c>
      <c r="Q12" s="37" t="n">
        <f aca="false">Q10-Q11</f>
        <v>15000</v>
      </c>
      <c r="R12" s="37" t="n">
        <f aca="false">R10-R11</f>
        <v>1000</v>
      </c>
      <c r="S12" s="37" t="n">
        <f aca="false">S10-S11</f>
        <v>91500</v>
      </c>
    </row>
    <row r="13" customFormat="false" ht="15" hidden="false" customHeight="false" outlineLevel="0" collapsed="false">
      <c r="A13" s="15" t="s">
        <v>58</v>
      </c>
      <c r="B13" s="15" t="s">
        <v>123</v>
      </c>
      <c r="C13" s="16" t="n">
        <v>2280000</v>
      </c>
      <c r="D13" s="16" t="n">
        <v>-68400</v>
      </c>
      <c r="E13" s="32" t="n">
        <f aca="false">C13+D13</f>
        <v>2211600</v>
      </c>
      <c r="F13" s="16" t="n">
        <v>91200</v>
      </c>
      <c r="G13" s="32" t="n">
        <f aca="false">E13+F13</f>
        <v>2302800</v>
      </c>
      <c r="H13" s="16" t="n">
        <v>161000</v>
      </c>
      <c r="I13" s="16" t="n">
        <v>42000</v>
      </c>
      <c r="J13" s="16" t="n">
        <v>48000</v>
      </c>
      <c r="K13" s="16" t="n">
        <v>69000</v>
      </c>
      <c r="L13" s="16" t="n">
        <v>68400</v>
      </c>
      <c r="M13" s="16" t="n">
        <v>45600</v>
      </c>
      <c r="N13" s="32" t="n">
        <f aca="false">SUM(H13:M13)</f>
        <v>434000</v>
      </c>
      <c r="O13" s="32" t="n">
        <f aca="false">G13-N13</f>
        <v>1868800</v>
      </c>
      <c r="P13" s="33" t="n">
        <f aca="false">IF(G13=0,0,O13/G13)</f>
        <v>0.811533784957443</v>
      </c>
      <c r="Q13" s="16" t="n">
        <v>125000</v>
      </c>
      <c r="R13" s="16" t="n">
        <v>57550</v>
      </c>
      <c r="S13" s="32" t="n">
        <f aca="false">O13-Q13-R13</f>
        <v>1686250</v>
      </c>
    </row>
    <row r="14" customFormat="false" ht="15" hidden="false" customHeight="false" outlineLevel="0" collapsed="false">
      <c r="A14" s="21" t="s">
        <v>58</v>
      </c>
      <c r="B14" s="21" t="s">
        <v>124</v>
      </c>
      <c r="C14" s="22" t="n">
        <v>2200000</v>
      </c>
      <c r="D14" s="22" t="n">
        <v>-66000</v>
      </c>
      <c r="E14" s="34" t="n">
        <f aca="false">C14+D14</f>
        <v>2134000</v>
      </c>
      <c r="F14" s="22" t="n">
        <v>85000</v>
      </c>
      <c r="G14" s="34" t="n">
        <f aca="false">E14+F14</f>
        <v>2219000</v>
      </c>
      <c r="H14" s="22" t="n">
        <v>154000</v>
      </c>
      <c r="I14" s="22" t="n">
        <v>40000</v>
      </c>
      <c r="J14" s="22" t="n">
        <v>45000</v>
      </c>
      <c r="K14" s="22" t="n">
        <v>65000</v>
      </c>
      <c r="L14" s="22" t="n">
        <v>66000</v>
      </c>
      <c r="M14" s="22" t="n">
        <v>44000</v>
      </c>
      <c r="N14" s="34" t="n">
        <f aca="false">SUM(H14:M14)</f>
        <v>414000</v>
      </c>
      <c r="O14" s="34" t="n">
        <f aca="false">G14-N14</f>
        <v>1805000</v>
      </c>
      <c r="P14" s="35" t="n">
        <f aca="false">IF(G14=0,0,O14/G14)</f>
        <v>0.813429472735466</v>
      </c>
      <c r="Q14" s="22" t="n">
        <v>115000</v>
      </c>
      <c r="R14" s="22" t="n">
        <v>55500</v>
      </c>
      <c r="S14" s="34" t="n">
        <f aca="false">O14-Q14-R14</f>
        <v>1634500</v>
      </c>
    </row>
    <row r="15" customFormat="false" ht="15" hidden="false" customHeight="false" outlineLevel="0" collapsed="false">
      <c r="A15" s="36" t="s">
        <v>58</v>
      </c>
      <c r="B15" s="36" t="s">
        <v>125</v>
      </c>
      <c r="C15" s="37" t="n">
        <f aca="false">C13-C14</f>
        <v>80000</v>
      </c>
      <c r="D15" s="37" t="n">
        <f aca="false">D13-D14</f>
        <v>-2400</v>
      </c>
      <c r="E15" s="37" t="n">
        <f aca="false">E13-E14</f>
        <v>77600</v>
      </c>
      <c r="F15" s="37" t="n">
        <f aca="false">F13-F14</f>
        <v>6200</v>
      </c>
      <c r="G15" s="37" t="n">
        <f aca="false">G13-G14</f>
        <v>83800</v>
      </c>
      <c r="H15" s="37" t="n">
        <f aca="false">H13-H14</f>
        <v>7000</v>
      </c>
      <c r="I15" s="37" t="n">
        <f aca="false">I13-I14</f>
        <v>2000</v>
      </c>
      <c r="J15" s="37" t="n">
        <f aca="false">J13-J14</f>
        <v>3000</v>
      </c>
      <c r="K15" s="37" t="n">
        <f aca="false">K13-K14</f>
        <v>4000</v>
      </c>
      <c r="L15" s="37" t="n">
        <f aca="false">L13-L14</f>
        <v>2400</v>
      </c>
      <c r="M15" s="37" t="n">
        <f aca="false">M13-M14</f>
        <v>1600</v>
      </c>
      <c r="N15" s="37" t="n">
        <f aca="false">N13-N14</f>
        <v>20000</v>
      </c>
      <c r="O15" s="37" t="n">
        <f aca="false">O13-O14</f>
        <v>63800</v>
      </c>
      <c r="P15" s="37" t="n">
        <f aca="false">P13-P14</f>
        <v>-0.00189568777802329</v>
      </c>
      <c r="Q15" s="37" t="n">
        <f aca="false">Q13-Q14</f>
        <v>10000</v>
      </c>
      <c r="R15" s="37" t="n">
        <f aca="false">R13-R14</f>
        <v>2050</v>
      </c>
      <c r="S15" s="37" t="n">
        <f aca="false">S13-S14</f>
        <v>51750</v>
      </c>
    </row>
    <row r="16" customFormat="false" ht="15" hidden="false" customHeight="false" outlineLevel="0" collapsed="false">
      <c r="A16" s="15" t="s">
        <v>63</v>
      </c>
      <c r="B16" s="15" t="s">
        <v>123</v>
      </c>
      <c r="C16" s="16" t="n">
        <v>2740000</v>
      </c>
      <c r="D16" s="16" t="n">
        <v>-219200</v>
      </c>
      <c r="E16" s="32" t="n">
        <f aca="false">C16+D16</f>
        <v>2520800</v>
      </c>
      <c r="F16" s="16" t="n">
        <v>109600</v>
      </c>
      <c r="G16" s="32" t="n">
        <f aca="false">E16+F16</f>
        <v>2630400</v>
      </c>
      <c r="H16" s="16" t="n">
        <v>192000</v>
      </c>
      <c r="I16" s="16" t="n">
        <v>46000</v>
      </c>
      <c r="J16" s="16" t="n">
        <v>42000</v>
      </c>
      <c r="K16" s="16" t="n">
        <v>82200</v>
      </c>
      <c r="L16" s="16" t="n">
        <v>82200</v>
      </c>
      <c r="M16" s="16" t="n">
        <v>54800</v>
      </c>
      <c r="N16" s="32" t="n">
        <f aca="false">SUM(H16:M16)</f>
        <v>499200</v>
      </c>
      <c r="O16" s="32" t="n">
        <f aca="false">G16-N16</f>
        <v>2131200</v>
      </c>
      <c r="P16" s="33" t="n">
        <f aca="false">IF(G16=0,0,O16/G16)</f>
        <v>0.81021897810219</v>
      </c>
      <c r="Q16" s="16" t="n">
        <v>156000</v>
      </c>
      <c r="R16" s="16" t="n">
        <v>65750</v>
      </c>
      <c r="S16" s="32" t="n">
        <f aca="false">O16-Q16-R16</f>
        <v>1909450</v>
      </c>
    </row>
    <row r="17" customFormat="false" ht="15" hidden="false" customHeight="false" outlineLevel="0" collapsed="false">
      <c r="A17" s="21" t="s">
        <v>63</v>
      </c>
      <c r="B17" s="21" t="s">
        <v>124</v>
      </c>
      <c r="C17" s="22" t="n">
        <v>2800000</v>
      </c>
      <c r="D17" s="22" t="n">
        <v>-140000</v>
      </c>
      <c r="E17" s="34" t="n">
        <f aca="false">C17+D17</f>
        <v>2660000</v>
      </c>
      <c r="F17" s="22" t="n">
        <v>115000</v>
      </c>
      <c r="G17" s="34" t="n">
        <f aca="false">E17+F17</f>
        <v>2775000</v>
      </c>
      <c r="H17" s="22" t="n">
        <v>187000</v>
      </c>
      <c r="I17" s="22" t="n">
        <v>44000</v>
      </c>
      <c r="J17" s="22" t="n">
        <v>38000</v>
      </c>
      <c r="K17" s="22" t="n">
        <v>78000</v>
      </c>
      <c r="L17" s="22" t="n">
        <v>84000</v>
      </c>
      <c r="M17" s="22" t="n">
        <v>52000</v>
      </c>
      <c r="N17" s="34" t="n">
        <f aca="false">SUM(H17:M17)</f>
        <v>483000</v>
      </c>
      <c r="O17" s="34" t="n">
        <f aca="false">G17-N17</f>
        <v>2292000</v>
      </c>
      <c r="P17" s="35" t="n">
        <f aca="false">IF(G17=0,0,O17/G17)</f>
        <v>0.825945945945946</v>
      </c>
      <c r="Q17" s="22" t="n">
        <v>140000</v>
      </c>
      <c r="R17" s="22" t="n">
        <v>69375</v>
      </c>
      <c r="S17" s="34" t="n">
        <f aca="false">O17-Q17-R17</f>
        <v>2082625</v>
      </c>
    </row>
    <row r="18" customFormat="false" ht="15" hidden="false" customHeight="false" outlineLevel="0" collapsed="false">
      <c r="A18" s="36" t="s">
        <v>63</v>
      </c>
      <c r="B18" s="36" t="s">
        <v>125</v>
      </c>
      <c r="C18" s="37" t="n">
        <f aca="false">C16-C17</f>
        <v>-60000</v>
      </c>
      <c r="D18" s="37" t="n">
        <f aca="false">D16-D17</f>
        <v>-79200</v>
      </c>
      <c r="E18" s="37" t="n">
        <f aca="false">E16-E17</f>
        <v>-139200</v>
      </c>
      <c r="F18" s="37" t="n">
        <f aca="false">F16-F17</f>
        <v>-5400</v>
      </c>
      <c r="G18" s="37" t="n">
        <f aca="false">G16-G17</f>
        <v>-144600</v>
      </c>
      <c r="H18" s="37" t="n">
        <f aca="false">H16-H17</f>
        <v>5000</v>
      </c>
      <c r="I18" s="37" t="n">
        <f aca="false">I16-I17</f>
        <v>2000</v>
      </c>
      <c r="J18" s="37" t="n">
        <f aca="false">J16-J17</f>
        <v>4000</v>
      </c>
      <c r="K18" s="37" t="n">
        <f aca="false">K16-K17</f>
        <v>4200</v>
      </c>
      <c r="L18" s="37" t="n">
        <f aca="false">L16-L17</f>
        <v>-1800</v>
      </c>
      <c r="M18" s="37" t="n">
        <f aca="false">M16-M17</f>
        <v>2800</v>
      </c>
      <c r="N18" s="37" t="n">
        <f aca="false">N16-N17</f>
        <v>16200</v>
      </c>
      <c r="O18" s="37" t="n">
        <f aca="false">O16-O17</f>
        <v>-160800</v>
      </c>
      <c r="P18" s="37" t="n">
        <f aca="false">P16-P17</f>
        <v>-0.0157269678437562</v>
      </c>
      <c r="Q18" s="37" t="n">
        <f aca="false">Q16-Q17</f>
        <v>16000</v>
      </c>
      <c r="R18" s="37" t="n">
        <f aca="false">R16-R17</f>
        <v>-3625</v>
      </c>
      <c r="S18" s="37" t="n">
        <f aca="false">S16-S17</f>
        <v>-173175</v>
      </c>
    </row>
    <row r="19" customFormat="false" ht="15" hidden="false" customHeight="false" outlineLevel="0" collapsed="false">
      <c r="A19" s="15" t="s">
        <v>68</v>
      </c>
      <c r="B19" s="15" t="s">
        <v>123</v>
      </c>
      <c r="C19" s="16" t="n">
        <v>4032000</v>
      </c>
      <c r="D19" s="16" t="n">
        <v>-282240</v>
      </c>
      <c r="E19" s="32" t="n">
        <f aca="false">C19+D19</f>
        <v>3749760</v>
      </c>
      <c r="F19" s="16" t="n">
        <v>161280</v>
      </c>
      <c r="G19" s="32" t="n">
        <f aca="false">E19+F19</f>
        <v>3911040</v>
      </c>
      <c r="H19" s="16" t="n">
        <v>274000</v>
      </c>
      <c r="I19" s="16" t="n">
        <v>68000</v>
      </c>
      <c r="J19" s="16" t="n">
        <v>128000</v>
      </c>
      <c r="K19" s="16" t="n">
        <v>120960</v>
      </c>
      <c r="L19" s="16" t="n">
        <v>120960</v>
      </c>
      <c r="M19" s="16" t="n">
        <v>80640</v>
      </c>
      <c r="N19" s="32" t="n">
        <f aca="false">SUM(H19:M19)</f>
        <v>792560</v>
      </c>
      <c r="O19" s="32" t="n">
        <f aca="false">G19-N19</f>
        <v>3118480</v>
      </c>
      <c r="P19" s="33" t="n">
        <f aca="false">IF(G19=0,0,O19/G19)</f>
        <v>0.79735313369334</v>
      </c>
      <c r="Q19" s="16" t="n">
        <v>228000</v>
      </c>
      <c r="R19" s="16" t="n">
        <v>97830</v>
      </c>
      <c r="S19" s="32" t="n">
        <f aca="false">O19-Q19-R19</f>
        <v>2792650</v>
      </c>
    </row>
    <row r="20" customFormat="false" ht="15" hidden="false" customHeight="false" outlineLevel="0" collapsed="false">
      <c r="A20" s="21" t="s">
        <v>68</v>
      </c>
      <c r="B20" s="21" t="s">
        <v>124</v>
      </c>
      <c r="C20" s="22" t="n">
        <v>3950000</v>
      </c>
      <c r="D20" s="22" t="n">
        <v>-197500</v>
      </c>
      <c r="E20" s="34" t="n">
        <f aca="false">C20+D20</f>
        <v>3752500</v>
      </c>
      <c r="F20" s="22" t="n">
        <v>155000</v>
      </c>
      <c r="G20" s="34" t="n">
        <f aca="false">E20+F20</f>
        <v>3907500</v>
      </c>
      <c r="H20" s="22" t="n">
        <v>268000</v>
      </c>
      <c r="I20" s="22" t="n">
        <v>65000</v>
      </c>
      <c r="J20" s="22" t="n">
        <v>122000</v>
      </c>
      <c r="K20" s="22" t="n">
        <v>115000</v>
      </c>
      <c r="L20" s="22" t="n">
        <v>118500</v>
      </c>
      <c r="M20" s="22" t="n">
        <v>78000</v>
      </c>
      <c r="N20" s="34" t="n">
        <f aca="false">SUM(H20:M20)</f>
        <v>766500</v>
      </c>
      <c r="O20" s="34" t="n">
        <f aca="false">G20-N20</f>
        <v>3141000</v>
      </c>
      <c r="P20" s="35" t="n">
        <f aca="false">IF(G20=0,0,O20/G20)</f>
        <v>0.80383877159309</v>
      </c>
      <c r="Q20" s="22" t="n">
        <v>210000</v>
      </c>
      <c r="R20" s="22" t="n">
        <v>97625</v>
      </c>
      <c r="S20" s="34" t="n">
        <f aca="false">O20-Q20-R20</f>
        <v>2833375</v>
      </c>
    </row>
    <row r="21" customFormat="false" ht="15" hidden="false" customHeight="false" outlineLevel="0" collapsed="false">
      <c r="A21" s="36" t="s">
        <v>68</v>
      </c>
      <c r="B21" s="36" t="s">
        <v>125</v>
      </c>
      <c r="C21" s="37" t="n">
        <f aca="false">C19-C20</f>
        <v>82000</v>
      </c>
      <c r="D21" s="37" t="n">
        <f aca="false">D19-D20</f>
        <v>-84740</v>
      </c>
      <c r="E21" s="37" t="n">
        <f aca="false">E19-E20</f>
        <v>-2740</v>
      </c>
      <c r="F21" s="37" t="n">
        <f aca="false">F19-F20</f>
        <v>6280</v>
      </c>
      <c r="G21" s="37" t="n">
        <f aca="false">G19-G20</f>
        <v>3540</v>
      </c>
      <c r="H21" s="37" t="n">
        <f aca="false">H19-H20</f>
        <v>6000</v>
      </c>
      <c r="I21" s="37" t="n">
        <f aca="false">I19-I20</f>
        <v>3000</v>
      </c>
      <c r="J21" s="37" t="n">
        <f aca="false">J19-J20</f>
        <v>6000</v>
      </c>
      <c r="K21" s="37" t="n">
        <f aca="false">K19-K20</f>
        <v>5960</v>
      </c>
      <c r="L21" s="37" t="n">
        <f aca="false">L19-L20</f>
        <v>2460</v>
      </c>
      <c r="M21" s="37" t="n">
        <f aca="false">M19-M20</f>
        <v>2640</v>
      </c>
      <c r="N21" s="37" t="n">
        <f aca="false">N19-N20</f>
        <v>26060</v>
      </c>
      <c r="O21" s="37" t="n">
        <f aca="false">O19-O20</f>
        <v>-22520</v>
      </c>
      <c r="P21" s="37" t="n">
        <f aca="false">P19-P20</f>
        <v>-0.00648563789975032</v>
      </c>
      <c r="Q21" s="37" t="n">
        <f aca="false">Q19-Q20</f>
        <v>18000</v>
      </c>
      <c r="R21" s="37" t="n">
        <f aca="false">R19-R20</f>
        <v>205</v>
      </c>
      <c r="S21" s="37" t="n">
        <f aca="false">S19-S20</f>
        <v>-40725</v>
      </c>
    </row>
    <row r="22" customFormat="false" ht="15" hidden="false" customHeight="false" outlineLevel="0" collapsed="false">
      <c r="A22" s="15" t="s">
        <v>73</v>
      </c>
      <c r="B22" s="15" t="s">
        <v>123</v>
      </c>
      <c r="C22" s="16" t="n">
        <v>2520000</v>
      </c>
      <c r="D22" s="16" t="n">
        <v>-352800</v>
      </c>
      <c r="E22" s="32" t="n">
        <f aca="false">C22+D22</f>
        <v>2167200</v>
      </c>
      <c r="F22" s="16" t="n">
        <v>75600</v>
      </c>
      <c r="G22" s="32" t="n">
        <f aca="false">E22+F22</f>
        <v>2242800</v>
      </c>
      <c r="H22" s="16" t="n">
        <v>176000</v>
      </c>
      <c r="I22" s="16" t="n">
        <v>44000</v>
      </c>
      <c r="J22" s="16" t="n">
        <v>68000</v>
      </c>
      <c r="K22" s="16" t="n">
        <v>75600</v>
      </c>
      <c r="L22" s="16" t="n">
        <v>75600</v>
      </c>
      <c r="M22" s="16" t="n">
        <v>50400</v>
      </c>
      <c r="N22" s="32" t="n">
        <f aca="false">SUM(H22:M22)</f>
        <v>489600</v>
      </c>
      <c r="O22" s="32" t="n">
        <f aca="false">G22-N22</f>
        <v>1753200</v>
      </c>
      <c r="P22" s="33" t="n">
        <f aca="false">IF(G22=0,0,O22/G22)</f>
        <v>0.781701444622793</v>
      </c>
      <c r="Q22" s="16" t="n">
        <v>168000</v>
      </c>
      <c r="R22" s="16" t="n">
        <v>56050</v>
      </c>
      <c r="S22" s="32" t="n">
        <f aca="false">O22-Q22-R22</f>
        <v>1529150</v>
      </c>
    </row>
    <row r="23" customFormat="false" ht="15" hidden="false" customHeight="false" outlineLevel="0" collapsed="false">
      <c r="A23" s="21" t="s">
        <v>73</v>
      </c>
      <c r="B23" s="21" t="s">
        <v>124</v>
      </c>
      <c r="C23" s="22" t="n">
        <v>2600000</v>
      </c>
      <c r="D23" s="22" t="n">
        <v>-182000</v>
      </c>
      <c r="E23" s="34" t="n">
        <f aca="false">C23+D23</f>
        <v>2418000</v>
      </c>
      <c r="F23" s="22" t="n">
        <v>82000</v>
      </c>
      <c r="G23" s="34" t="n">
        <f aca="false">E23+F23</f>
        <v>2500000</v>
      </c>
      <c r="H23" s="22" t="n">
        <v>170000</v>
      </c>
      <c r="I23" s="22" t="n">
        <v>42000</v>
      </c>
      <c r="J23" s="22" t="n">
        <v>62000</v>
      </c>
      <c r="K23" s="22" t="n">
        <v>72000</v>
      </c>
      <c r="L23" s="22" t="n">
        <v>78000</v>
      </c>
      <c r="M23" s="22" t="n">
        <v>48000</v>
      </c>
      <c r="N23" s="34" t="n">
        <f aca="false">SUM(H23:M23)</f>
        <v>472000</v>
      </c>
      <c r="O23" s="34" t="n">
        <f aca="false">G23-N23</f>
        <v>2028000</v>
      </c>
      <c r="P23" s="35" t="n">
        <f aca="false">IF(G23=0,0,O23/G23)</f>
        <v>0.8112</v>
      </c>
      <c r="Q23" s="22" t="n">
        <v>145000</v>
      </c>
      <c r="R23" s="22" t="n">
        <v>58750</v>
      </c>
      <c r="S23" s="34" t="n">
        <f aca="false">O23-Q23-R23</f>
        <v>1824250</v>
      </c>
    </row>
    <row r="24" customFormat="false" ht="15" hidden="false" customHeight="false" outlineLevel="0" collapsed="false">
      <c r="A24" s="36" t="s">
        <v>73</v>
      </c>
      <c r="B24" s="36" t="s">
        <v>125</v>
      </c>
      <c r="C24" s="37" t="n">
        <f aca="false">C22-C23</f>
        <v>-80000</v>
      </c>
      <c r="D24" s="37" t="n">
        <f aca="false">D22-D23</f>
        <v>-170800</v>
      </c>
      <c r="E24" s="37" t="n">
        <f aca="false">E22-E23</f>
        <v>-250800</v>
      </c>
      <c r="F24" s="37" t="n">
        <f aca="false">F22-F23</f>
        <v>-6400</v>
      </c>
      <c r="G24" s="37" t="n">
        <f aca="false">G22-G23</f>
        <v>-257200</v>
      </c>
      <c r="H24" s="37" t="n">
        <f aca="false">H22-H23</f>
        <v>6000</v>
      </c>
      <c r="I24" s="37" t="n">
        <f aca="false">I22-I23</f>
        <v>2000</v>
      </c>
      <c r="J24" s="37" t="n">
        <f aca="false">J22-J23</f>
        <v>6000</v>
      </c>
      <c r="K24" s="37" t="n">
        <f aca="false">K22-K23</f>
        <v>3600</v>
      </c>
      <c r="L24" s="37" t="n">
        <f aca="false">L22-L23</f>
        <v>-2400</v>
      </c>
      <c r="M24" s="37" t="n">
        <f aca="false">M22-M23</f>
        <v>2400</v>
      </c>
      <c r="N24" s="37" t="n">
        <f aca="false">N22-N23</f>
        <v>17600</v>
      </c>
      <c r="O24" s="37" t="n">
        <f aca="false">O22-O23</f>
        <v>-274800</v>
      </c>
      <c r="P24" s="37" t="n">
        <f aca="false">P22-P23</f>
        <v>-0.0294985553772071</v>
      </c>
      <c r="Q24" s="37" t="n">
        <f aca="false">Q22-Q23</f>
        <v>23000</v>
      </c>
      <c r="R24" s="37" t="n">
        <f aca="false">R22-R23</f>
        <v>-2700</v>
      </c>
      <c r="S24" s="37" t="n">
        <f aca="false">S22-S23</f>
        <v>-295100</v>
      </c>
    </row>
    <row r="25" customFormat="false" ht="15" hidden="false" customHeight="false" outlineLevel="0" collapsed="false">
      <c r="A25" s="15" t="s">
        <v>78</v>
      </c>
      <c r="B25" s="15" t="s">
        <v>123</v>
      </c>
      <c r="C25" s="16" t="n">
        <v>1920000</v>
      </c>
      <c r="D25" s="16" t="n">
        <v>-172800</v>
      </c>
      <c r="E25" s="32" t="n">
        <f aca="false">C25+D25</f>
        <v>1747200</v>
      </c>
      <c r="F25" s="16" t="n">
        <v>76800</v>
      </c>
      <c r="G25" s="32" t="n">
        <f aca="false">E25+F25</f>
        <v>1824000</v>
      </c>
      <c r="H25" s="16" t="n">
        <v>128000</v>
      </c>
      <c r="I25" s="16" t="n">
        <v>34000</v>
      </c>
      <c r="J25" s="16" t="n">
        <v>52000</v>
      </c>
      <c r="K25" s="16" t="n">
        <v>57600</v>
      </c>
      <c r="L25" s="16" t="n">
        <v>57600</v>
      </c>
      <c r="M25" s="16" t="n">
        <v>38400</v>
      </c>
      <c r="N25" s="32" t="n">
        <f aca="false">SUM(H25:M25)</f>
        <v>367600</v>
      </c>
      <c r="O25" s="32" t="n">
        <f aca="false">G25-N25</f>
        <v>1456400</v>
      </c>
      <c r="P25" s="33" t="n">
        <f aca="false">IF(G25=0,0,O25/G25)</f>
        <v>0.798464912280702</v>
      </c>
      <c r="Q25" s="16" t="n">
        <v>82000</v>
      </c>
      <c r="R25" s="16" t="n">
        <v>45600</v>
      </c>
      <c r="S25" s="32" t="n">
        <f aca="false">O25-Q25-R25</f>
        <v>1328800</v>
      </c>
    </row>
    <row r="26" customFormat="false" ht="15" hidden="false" customHeight="false" outlineLevel="0" collapsed="false">
      <c r="A26" s="21" t="s">
        <v>78</v>
      </c>
      <c r="B26" s="21" t="s">
        <v>124</v>
      </c>
      <c r="C26" s="22" t="n">
        <v>1880000</v>
      </c>
      <c r="D26" s="22" t="n">
        <v>-112800</v>
      </c>
      <c r="E26" s="34" t="n">
        <f aca="false">C26+D26</f>
        <v>1767200</v>
      </c>
      <c r="F26" s="22" t="n">
        <v>72000</v>
      </c>
      <c r="G26" s="34" t="n">
        <f aca="false">E26+F26</f>
        <v>1839200</v>
      </c>
      <c r="H26" s="22" t="n">
        <v>125000</v>
      </c>
      <c r="I26" s="22" t="n">
        <v>32000</v>
      </c>
      <c r="J26" s="22" t="n">
        <v>48000</v>
      </c>
      <c r="K26" s="22" t="n">
        <v>54000</v>
      </c>
      <c r="L26" s="22" t="n">
        <v>56400</v>
      </c>
      <c r="M26" s="22" t="n">
        <v>37200</v>
      </c>
      <c r="N26" s="34" t="n">
        <f aca="false">SUM(H26:M26)</f>
        <v>352600</v>
      </c>
      <c r="O26" s="34" t="n">
        <f aca="false">G26-N26</f>
        <v>1486600</v>
      </c>
      <c r="P26" s="35" t="n">
        <f aca="false">IF(G26=0,0,O26/G26)</f>
        <v>0.808286211396259</v>
      </c>
      <c r="Q26" s="22" t="n">
        <v>75000</v>
      </c>
      <c r="R26" s="22" t="n">
        <v>45950</v>
      </c>
      <c r="S26" s="34" t="n">
        <f aca="false">O26-Q26-R26</f>
        <v>1365650</v>
      </c>
    </row>
    <row r="27" customFormat="false" ht="15" hidden="false" customHeight="false" outlineLevel="0" collapsed="false">
      <c r="A27" s="36" t="s">
        <v>78</v>
      </c>
      <c r="B27" s="36" t="s">
        <v>125</v>
      </c>
      <c r="C27" s="37" t="n">
        <f aca="false">C25-C26</f>
        <v>40000</v>
      </c>
      <c r="D27" s="37" t="n">
        <f aca="false">D25-D26</f>
        <v>-60000</v>
      </c>
      <c r="E27" s="37" t="n">
        <f aca="false">E25-E26</f>
        <v>-20000</v>
      </c>
      <c r="F27" s="37" t="n">
        <f aca="false">F25-F26</f>
        <v>4800</v>
      </c>
      <c r="G27" s="37" t="n">
        <f aca="false">G25-G26</f>
        <v>-15200</v>
      </c>
      <c r="H27" s="37" t="n">
        <f aca="false">H25-H26</f>
        <v>3000</v>
      </c>
      <c r="I27" s="37" t="n">
        <f aca="false">I25-I26</f>
        <v>2000</v>
      </c>
      <c r="J27" s="37" t="n">
        <f aca="false">J25-J26</f>
        <v>4000</v>
      </c>
      <c r="K27" s="37" t="n">
        <f aca="false">K25-K26</f>
        <v>3600</v>
      </c>
      <c r="L27" s="37" t="n">
        <f aca="false">L25-L26</f>
        <v>1200</v>
      </c>
      <c r="M27" s="37" t="n">
        <f aca="false">M25-M26</f>
        <v>1200</v>
      </c>
      <c r="N27" s="37" t="n">
        <f aca="false">N25-N26</f>
        <v>15000</v>
      </c>
      <c r="O27" s="37" t="n">
        <f aca="false">O25-O26</f>
        <v>-30200</v>
      </c>
      <c r="P27" s="37" t="n">
        <f aca="false">P25-P26</f>
        <v>-0.00982129911555751</v>
      </c>
      <c r="Q27" s="37" t="n">
        <f aca="false">Q25-Q26</f>
        <v>7000</v>
      </c>
      <c r="R27" s="37" t="n">
        <f aca="false">R25-R26</f>
        <v>-350</v>
      </c>
      <c r="S27" s="37" t="n">
        <f aca="false">S25-S26</f>
        <v>-36850</v>
      </c>
    </row>
    <row r="28" customFormat="false" ht="15" hidden="false" customHeight="false" outlineLevel="0" collapsed="false">
      <c r="A28" s="15" t="s">
        <v>83</v>
      </c>
      <c r="B28" s="15" t="s">
        <v>123</v>
      </c>
      <c r="C28" s="16" t="n">
        <v>2880000</v>
      </c>
      <c r="D28" s="16" t="n">
        <v>0</v>
      </c>
      <c r="E28" s="32" t="n">
        <f aca="false">C28+D28</f>
        <v>2880000</v>
      </c>
      <c r="F28" s="16" t="n">
        <v>86400</v>
      </c>
      <c r="G28" s="32" t="n">
        <f aca="false">E28+F28</f>
        <v>2966400</v>
      </c>
      <c r="H28" s="16" t="n">
        <v>172000</v>
      </c>
      <c r="I28" s="16" t="n">
        <v>48000</v>
      </c>
      <c r="J28" s="16" t="n">
        <v>58000</v>
      </c>
      <c r="K28" s="16" t="n">
        <v>86400</v>
      </c>
      <c r="L28" s="16" t="n">
        <v>86400</v>
      </c>
      <c r="M28" s="16" t="n">
        <v>57600</v>
      </c>
      <c r="N28" s="32" t="n">
        <f aca="false">SUM(H28:M28)</f>
        <v>508400</v>
      </c>
      <c r="O28" s="32" t="n">
        <f aca="false">G28-N28</f>
        <v>2458000</v>
      </c>
      <c r="P28" s="33" t="n">
        <f aca="false">IF(G28=0,0,O28/G28)</f>
        <v>0.82861380798274</v>
      </c>
      <c r="Q28" s="16" t="n">
        <v>172000</v>
      </c>
      <c r="R28" s="16" t="n">
        <v>72000</v>
      </c>
      <c r="S28" s="32" t="n">
        <f aca="false">O28-Q28-R28</f>
        <v>2214000</v>
      </c>
    </row>
    <row r="29" customFormat="false" ht="15" hidden="false" customHeight="false" outlineLevel="0" collapsed="false">
      <c r="A29" s="21" t="s">
        <v>83</v>
      </c>
      <c r="B29" s="21" t="s">
        <v>124</v>
      </c>
      <c r="C29" s="22" t="n">
        <v>2800000</v>
      </c>
      <c r="D29" s="22" t="n">
        <v>-28000</v>
      </c>
      <c r="E29" s="34" t="n">
        <f aca="false">C29+D29</f>
        <v>2772000</v>
      </c>
      <c r="F29" s="22" t="n">
        <v>80000</v>
      </c>
      <c r="G29" s="34" t="n">
        <f aca="false">E29+F29</f>
        <v>2852000</v>
      </c>
      <c r="H29" s="22" t="n">
        <v>168000</v>
      </c>
      <c r="I29" s="22" t="n">
        <v>46000</v>
      </c>
      <c r="J29" s="22" t="n">
        <v>54000</v>
      </c>
      <c r="K29" s="22" t="n">
        <v>82000</v>
      </c>
      <c r="L29" s="22" t="n">
        <v>84000</v>
      </c>
      <c r="M29" s="22" t="n">
        <v>56000</v>
      </c>
      <c r="N29" s="34" t="n">
        <f aca="false">SUM(H29:M29)</f>
        <v>490000</v>
      </c>
      <c r="O29" s="34" t="n">
        <f aca="false">G29-N29</f>
        <v>2362000</v>
      </c>
      <c r="P29" s="35" t="n">
        <f aca="false">IF(G29=0,0,O29/G29)</f>
        <v>0.828190743338009</v>
      </c>
      <c r="Q29" s="22" t="n">
        <v>160000</v>
      </c>
      <c r="R29" s="22" t="n">
        <v>71000</v>
      </c>
      <c r="S29" s="34" t="n">
        <f aca="false">O29-Q29-R29</f>
        <v>2131000</v>
      </c>
    </row>
    <row r="30" customFormat="false" ht="15" hidden="false" customHeight="false" outlineLevel="0" collapsed="false">
      <c r="A30" s="36" t="s">
        <v>83</v>
      </c>
      <c r="B30" s="36" t="s">
        <v>125</v>
      </c>
      <c r="C30" s="37" t="n">
        <f aca="false">C28-C29</f>
        <v>80000</v>
      </c>
      <c r="D30" s="37" t="n">
        <f aca="false">D28-D29</f>
        <v>28000</v>
      </c>
      <c r="E30" s="37" t="n">
        <f aca="false">E28-E29</f>
        <v>108000</v>
      </c>
      <c r="F30" s="37" t="n">
        <f aca="false">F28-F29</f>
        <v>6400</v>
      </c>
      <c r="G30" s="37" t="n">
        <f aca="false">G28-G29</f>
        <v>114400</v>
      </c>
      <c r="H30" s="37" t="n">
        <f aca="false">H28-H29</f>
        <v>4000</v>
      </c>
      <c r="I30" s="37" t="n">
        <f aca="false">I28-I29</f>
        <v>2000</v>
      </c>
      <c r="J30" s="37" t="n">
        <f aca="false">J28-J29</f>
        <v>4000</v>
      </c>
      <c r="K30" s="37" t="n">
        <f aca="false">K28-K29</f>
        <v>4400</v>
      </c>
      <c r="L30" s="37" t="n">
        <f aca="false">L28-L29</f>
        <v>2400</v>
      </c>
      <c r="M30" s="37" t="n">
        <f aca="false">M28-M29</f>
        <v>1600</v>
      </c>
      <c r="N30" s="37" t="n">
        <f aca="false">N28-N29</f>
        <v>18400</v>
      </c>
      <c r="O30" s="37" t="n">
        <f aca="false">O28-O29</f>
        <v>96000</v>
      </c>
      <c r="P30" s="37" t="n">
        <f aca="false">P28-P29</f>
        <v>0.000423064644731519</v>
      </c>
      <c r="Q30" s="37" t="n">
        <f aca="false">Q28-Q29</f>
        <v>12000</v>
      </c>
      <c r="R30" s="37" t="n">
        <f aca="false">R28-R29</f>
        <v>1000</v>
      </c>
      <c r="S30" s="37" t="n">
        <f aca="false">S28-S29</f>
        <v>83000</v>
      </c>
    </row>
    <row r="31" customFormat="false" ht="15" hidden="false" customHeight="false" outlineLevel="0" collapsed="false">
      <c r="A31" s="15" t="s">
        <v>88</v>
      </c>
      <c r="B31" s="15" t="s">
        <v>123</v>
      </c>
      <c r="C31" s="16" t="n">
        <v>3168000</v>
      </c>
      <c r="D31" s="16" t="n">
        <v>-158400</v>
      </c>
      <c r="E31" s="32" t="n">
        <f aca="false">C31+D31</f>
        <v>3009600</v>
      </c>
      <c r="F31" s="16" t="n">
        <v>126720</v>
      </c>
      <c r="G31" s="32" t="n">
        <f aca="false">E31+F31</f>
        <v>3136320</v>
      </c>
      <c r="H31" s="16" t="n">
        <v>222000</v>
      </c>
      <c r="I31" s="16" t="n">
        <v>54000</v>
      </c>
      <c r="J31" s="16" t="n">
        <v>98000</v>
      </c>
      <c r="K31" s="16" t="n">
        <v>95040</v>
      </c>
      <c r="L31" s="16" t="n">
        <v>95040</v>
      </c>
      <c r="M31" s="16" t="n">
        <v>63360</v>
      </c>
      <c r="N31" s="32" t="n">
        <f aca="false">SUM(H31:M31)</f>
        <v>627440</v>
      </c>
      <c r="O31" s="32" t="n">
        <f aca="false">G31-N31</f>
        <v>2508880</v>
      </c>
      <c r="P31" s="33" t="n">
        <f aca="false">IF(G31=0,0,O31/G31)</f>
        <v>0.799943883277217</v>
      </c>
      <c r="Q31" s="16" t="n">
        <v>182000</v>
      </c>
      <c r="R31" s="16" t="n">
        <v>78390</v>
      </c>
      <c r="S31" s="32" t="n">
        <f aca="false">O31-Q31-R31</f>
        <v>2248490</v>
      </c>
    </row>
    <row r="32" customFormat="false" ht="15" hidden="false" customHeight="false" outlineLevel="0" collapsed="false">
      <c r="A32" s="21" t="s">
        <v>88</v>
      </c>
      <c r="B32" s="21" t="s">
        <v>124</v>
      </c>
      <c r="C32" s="22" t="n">
        <v>3100000</v>
      </c>
      <c r="D32" s="22" t="n">
        <v>-155000</v>
      </c>
      <c r="E32" s="34" t="n">
        <f aca="false">C32+D32</f>
        <v>2945000</v>
      </c>
      <c r="F32" s="22" t="n">
        <v>120000</v>
      </c>
      <c r="G32" s="34" t="n">
        <f aca="false">E32+F32</f>
        <v>3065000</v>
      </c>
      <c r="H32" s="22" t="n">
        <v>217000</v>
      </c>
      <c r="I32" s="22" t="n">
        <v>52000</v>
      </c>
      <c r="J32" s="22" t="n">
        <v>92000</v>
      </c>
      <c r="K32" s="22" t="n">
        <v>90000</v>
      </c>
      <c r="L32" s="22" t="n">
        <v>93000</v>
      </c>
      <c r="M32" s="22" t="n">
        <v>62000</v>
      </c>
      <c r="N32" s="34" t="n">
        <f aca="false">SUM(H32:M32)</f>
        <v>606000</v>
      </c>
      <c r="O32" s="34" t="n">
        <f aca="false">G32-N32</f>
        <v>2459000</v>
      </c>
      <c r="P32" s="35" t="n">
        <f aca="false">IF(G32=0,0,O32/G32)</f>
        <v>0.802283849918434</v>
      </c>
      <c r="Q32" s="22" t="n">
        <v>168000</v>
      </c>
      <c r="R32" s="22" t="n">
        <v>77250</v>
      </c>
      <c r="S32" s="34" t="n">
        <f aca="false">O32-Q32-R32</f>
        <v>2213750</v>
      </c>
    </row>
    <row r="33" customFormat="false" ht="15" hidden="false" customHeight="false" outlineLevel="0" collapsed="false">
      <c r="A33" s="36" t="s">
        <v>88</v>
      </c>
      <c r="B33" s="36" t="s">
        <v>125</v>
      </c>
      <c r="C33" s="37" t="n">
        <f aca="false">C31-C32</f>
        <v>68000</v>
      </c>
      <c r="D33" s="37" t="n">
        <f aca="false">D31-D32</f>
        <v>-3400</v>
      </c>
      <c r="E33" s="37" t="n">
        <f aca="false">E31-E32</f>
        <v>64600</v>
      </c>
      <c r="F33" s="37" t="n">
        <f aca="false">F31-F32</f>
        <v>6720</v>
      </c>
      <c r="G33" s="37" t="n">
        <f aca="false">G31-G32</f>
        <v>71320</v>
      </c>
      <c r="H33" s="37" t="n">
        <f aca="false">H31-H32</f>
        <v>5000</v>
      </c>
      <c r="I33" s="37" t="n">
        <f aca="false">I31-I32</f>
        <v>2000</v>
      </c>
      <c r="J33" s="37" t="n">
        <f aca="false">J31-J32</f>
        <v>6000</v>
      </c>
      <c r="K33" s="37" t="n">
        <f aca="false">K31-K32</f>
        <v>5040</v>
      </c>
      <c r="L33" s="37" t="n">
        <f aca="false">L31-L32</f>
        <v>2040</v>
      </c>
      <c r="M33" s="37" t="n">
        <f aca="false">M31-M32</f>
        <v>1360</v>
      </c>
      <c r="N33" s="37" t="n">
        <f aca="false">N31-N32</f>
        <v>21440</v>
      </c>
      <c r="O33" s="37" t="n">
        <f aca="false">O31-O32</f>
        <v>49880</v>
      </c>
      <c r="P33" s="37" t="n">
        <f aca="false">P31-P32</f>
        <v>-0.00233996664121727</v>
      </c>
      <c r="Q33" s="37" t="n">
        <f aca="false">Q31-Q32</f>
        <v>14000</v>
      </c>
      <c r="R33" s="37" t="n">
        <f aca="false">R31-R32</f>
        <v>1140</v>
      </c>
      <c r="S33" s="37" t="n">
        <f aca="false">S31-S32</f>
        <v>34740</v>
      </c>
    </row>
    <row r="34" customFormat="false" ht="15" hidden="false" customHeight="false" outlineLevel="0" collapsed="false">
      <c r="A34" s="15" t="s">
        <v>93</v>
      </c>
      <c r="B34" s="15" t="s">
        <v>123</v>
      </c>
      <c r="C34" s="16" t="n">
        <v>2240000</v>
      </c>
      <c r="D34" s="16" t="n">
        <v>0</v>
      </c>
      <c r="E34" s="32" t="n">
        <f aca="false">C34+D34</f>
        <v>2240000</v>
      </c>
      <c r="F34" s="16" t="n">
        <v>67200</v>
      </c>
      <c r="G34" s="32" t="n">
        <f aca="false">E34+F34</f>
        <v>2307200</v>
      </c>
      <c r="H34" s="16" t="n">
        <v>134000</v>
      </c>
      <c r="I34" s="16" t="n">
        <v>38000</v>
      </c>
      <c r="J34" s="16" t="n">
        <v>42000</v>
      </c>
      <c r="K34" s="16" t="n">
        <v>67200</v>
      </c>
      <c r="L34" s="16" t="n">
        <v>67200</v>
      </c>
      <c r="M34" s="16" t="n">
        <v>44800</v>
      </c>
      <c r="N34" s="32" t="n">
        <f aca="false">SUM(H34:M34)</f>
        <v>393200</v>
      </c>
      <c r="O34" s="32" t="n">
        <f aca="false">G34-N34</f>
        <v>1914000</v>
      </c>
      <c r="P34" s="33" t="n">
        <f aca="false">IF(G34=0,0,O34/G34)</f>
        <v>0.829576976421637</v>
      </c>
      <c r="Q34" s="16" t="n">
        <v>128000</v>
      </c>
      <c r="R34" s="16" t="n">
        <v>57650</v>
      </c>
      <c r="S34" s="32" t="n">
        <f aca="false">O34-Q34-R34</f>
        <v>1728350</v>
      </c>
    </row>
    <row r="35" customFormat="false" ht="15" hidden="false" customHeight="false" outlineLevel="0" collapsed="false">
      <c r="A35" s="21" t="s">
        <v>93</v>
      </c>
      <c r="B35" s="21" t="s">
        <v>124</v>
      </c>
      <c r="C35" s="22" t="n">
        <v>2180000</v>
      </c>
      <c r="D35" s="22" t="n">
        <v>-21800</v>
      </c>
      <c r="E35" s="34" t="n">
        <f aca="false">C35+D35</f>
        <v>2158200</v>
      </c>
      <c r="F35" s="22" t="n">
        <v>62000</v>
      </c>
      <c r="G35" s="34" t="n">
        <f aca="false">E35+F35</f>
        <v>2220200</v>
      </c>
      <c r="H35" s="22" t="n">
        <v>130000</v>
      </c>
      <c r="I35" s="22" t="n">
        <v>36000</v>
      </c>
      <c r="J35" s="22" t="n">
        <v>38000</v>
      </c>
      <c r="K35" s="22" t="n">
        <v>64000</v>
      </c>
      <c r="L35" s="22" t="n">
        <v>65400</v>
      </c>
      <c r="M35" s="22" t="n">
        <v>43600</v>
      </c>
      <c r="N35" s="34" t="n">
        <f aca="false">SUM(H35:M35)</f>
        <v>377000</v>
      </c>
      <c r="O35" s="34" t="n">
        <f aca="false">G35-N35</f>
        <v>1843200</v>
      </c>
      <c r="P35" s="35" t="n">
        <f aca="false">IF(G35=0,0,O35/G35)</f>
        <v>0.830195477884875</v>
      </c>
      <c r="Q35" s="22" t="n">
        <v>118000</v>
      </c>
      <c r="R35" s="22" t="n">
        <v>56550</v>
      </c>
      <c r="S35" s="34" t="n">
        <f aca="false">O35-Q35-R35</f>
        <v>1668650</v>
      </c>
    </row>
    <row r="36" customFormat="false" ht="15" hidden="false" customHeight="false" outlineLevel="0" collapsed="false">
      <c r="A36" s="36" t="s">
        <v>93</v>
      </c>
      <c r="B36" s="36" t="s">
        <v>125</v>
      </c>
      <c r="C36" s="37" t="n">
        <f aca="false">C34-C35</f>
        <v>60000</v>
      </c>
      <c r="D36" s="37" t="n">
        <f aca="false">D34-D35</f>
        <v>21800</v>
      </c>
      <c r="E36" s="37" t="n">
        <f aca="false">E34-E35</f>
        <v>81800</v>
      </c>
      <c r="F36" s="37" t="n">
        <f aca="false">F34-F35</f>
        <v>5200</v>
      </c>
      <c r="G36" s="37" t="n">
        <f aca="false">G34-G35</f>
        <v>87000</v>
      </c>
      <c r="H36" s="37" t="n">
        <f aca="false">H34-H35</f>
        <v>4000</v>
      </c>
      <c r="I36" s="37" t="n">
        <f aca="false">I34-I35</f>
        <v>2000</v>
      </c>
      <c r="J36" s="37" t="n">
        <f aca="false">J34-J35</f>
        <v>4000</v>
      </c>
      <c r="K36" s="37" t="n">
        <f aca="false">K34-K35</f>
        <v>3200</v>
      </c>
      <c r="L36" s="37" t="n">
        <f aca="false">L34-L35</f>
        <v>1800</v>
      </c>
      <c r="M36" s="37" t="n">
        <f aca="false">M34-M35</f>
        <v>1200</v>
      </c>
      <c r="N36" s="37" t="n">
        <f aca="false">N34-N35</f>
        <v>16200</v>
      </c>
      <c r="O36" s="37" t="n">
        <f aca="false">O34-O35</f>
        <v>70800</v>
      </c>
      <c r="P36" s="37" t="n">
        <f aca="false">P34-P35</f>
        <v>-0.000618501463238608</v>
      </c>
      <c r="Q36" s="37" t="n">
        <f aca="false">Q34-Q35</f>
        <v>10000</v>
      </c>
      <c r="R36" s="37" t="n">
        <f aca="false">R34-R35</f>
        <v>1100</v>
      </c>
      <c r="S36" s="37" t="n">
        <f aca="false">S34-S35</f>
        <v>59700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B28"/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5" min="2" style="0" width="18"/>
    <col collapsed="false" customWidth="true" hidden="false" outlineLevel="0" max="16" min="16" style="0" width="35"/>
  </cols>
  <sheetData>
    <row r="1" customFormat="false" ht="17.35" hidden="false" customHeight="fals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3.85" hidden="false" customHeight="false" outlineLevel="0" collapsed="false">
      <c r="A3" s="14" t="s">
        <v>25</v>
      </c>
      <c r="B3" s="14" t="s">
        <v>127</v>
      </c>
      <c r="C3" s="14" t="s">
        <v>128</v>
      </c>
      <c r="D3" s="14" t="s">
        <v>129</v>
      </c>
      <c r="E3" s="14" t="s">
        <v>130</v>
      </c>
      <c r="F3" s="14" t="s">
        <v>131</v>
      </c>
      <c r="G3" s="14" t="s">
        <v>132</v>
      </c>
      <c r="H3" s="14" t="s">
        <v>133</v>
      </c>
      <c r="I3" s="14" t="s">
        <v>134</v>
      </c>
      <c r="J3" s="14" t="s">
        <v>135</v>
      </c>
      <c r="K3" s="14" t="s">
        <v>136</v>
      </c>
      <c r="L3" s="14" t="s">
        <v>40</v>
      </c>
      <c r="M3" s="14" t="s">
        <v>39</v>
      </c>
      <c r="N3" s="14" t="s">
        <v>137</v>
      </c>
      <c r="O3" s="14" t="s">
        <v>138</v>
      </c>
      <c r="P3" s="14" t="s">
        <v>139</v>
      </c>
    </row>
    <row r="4" customFormat="false" ht="15" hidden="false" customHeight="false" outlineLevel="0" collapsed="false">
      <c r="A4" s="15" t="s">
        <v>43</v>
      </c>
      <c r="B4" s="15" t="s">
        <v>140</v>
      </c>
      <c r="C4" s="15" t="s">
        <v>141</v>
      </c>
      <c r="D4" s="16" t="n">
        <v>42500000</v>
      </c>
      <c r="E4" s="16" t="n">
        <v>41100000</v>
      </c>
      <c r="F4" s="18" t="n">
        <v>0.0435</v>
      </c>
      <c r="G4" s="17" t="s">
        <v>142</v>
      </c>
      <c r="H4" s="17" t="s">
        <v>143</v>
      </c>
      <c r="I4" s="17" t="s">
        <v>144</v>
      </c>
      <c r="J4" s="17" t="s">
        <v>145</v>
      </c>
      <c r="K4" s="32" t="n">
        <f aca="false">E4*F4+E4*0.015</f>
        <v>2404350</v>
      </c>
      <c r="L4" s="19" t="n">
        <v>1.85</v>
      </c>
      <c r="M4" s="17"/>
      <c r="N4" s="17" t="s">
        <v>146</v>
      </c>
      <c r="O4" s="17" t="s">
        <v>147</v>
      </c>
      <c r="P4" s="17" t="s">
        <v>148</v>
      </c>
    </row>
    <row r="5" customFormat="false" ht="15" hidden="false" customHeight="false" outlineLevel="0" collapsed="false">
      <c r="A5" s="21" t="s">
        <v>48</v>
      </c>
      <c r="B5" s="21" t="s">
        <v>149</v>
      </c>
      <c r="C5" s="21" t="s">
        <v>150</v>
      </c>
      <c r="D5" s="22" t="n">
        <v>38200000</v>
      </c>
      <c r="E5" s="22" t="n">
        <v>36260000</v>
      </c>
      <c r="F5" s="24" t="n">
        <v>0.0385</v>
      </c>
      <c r="G5" s="23" t="s">
        <v>142</v>
      </c>
      <c r="H5" s="23" t="s">
        <v>151</v>
      </c>
      <c r="I5" s="23" t="s">
        <v>152</v>
      </c>
      <c r="J5" s="23" t="s">
        <v>153</v>
      </c>
      <c r="K5" s="34" t="n">
        <f aca="false">E5*F5+E5*0.015</f>
        <v>1939910</v>
      </c>
      <c r="L5" s="25" t="n">
        <v>1.62</v>
      </c>
      <c r="M5" s="23"/>
      <c r="N5" s="23" t="s">
        <v>154</v>
      </c>
      <c r="O5" s="23" t="s">
        <v>155</v>
      </c>
      <c r="P5" s="23" t="s">
        <v>156</v>
      </c>
    </row>
    <row r="6" customFormat="false" ht="15" hidden="false" customHeight="false" outlineLevel="0" collapsed="false">
      <c r="A6" s="15" t="s">
        <v>53</v>
      </c>
      <c r="B6" s="15" t="s">
        <v>157</v>
      </c>
      <c r="C6" s="15" t="s">
        <v>158</v>
      </c>
      <c r="D6" s="16" t="n">
        <v>30000000</v>
      </c>
      <c r="E6" s="16" t="n">
        <v>28840000</v>
      </c>
      <c r="F6" s="18" t="n">
        <v>0.041</v>
      </c>
      <c r="G6" s="17" t="s">
        <v>142</v>
      </c>
      <c r="H6" s="17" t="s">
        <v>159</v>
      </c>
      <c r="I6" s="17" t="s">
        <v>160</v>
      </c>
      <c r="J6" s="17" t="s">
        <v>161</v>
      </c>
      <c r="K6" s="32" t="n">
        <f aca="false">E6*F6+E6*0.015</f>
        <v>1615040</v>
      </c>
      <c r="L6" s="19" t="n">
        <v>2.14</v>
      </c>
      <c r="M6" s="17"/>
      <c r="N6" s="17" t="s">
        <v>162</v>
      </c>
      <c r="O6" s="17" t="s">
        <v>163</v>
      </c>
      <c r="P6" s="17" t="s">
        <v>164</v>
      </c>
    </row>
    <row r="7" customFormat="false" ht="15" hidden="false" customHeight="false" outlineLevel="0" collapsed="false">
      <c r="A7" s="21" t="s">
        <v>58</v>
      </c>
      <c r="B7" s="21" t="s">
        <v>165</v>
      </c>
      <c r="C7" s="21" t="s">
        <v>158</v>
      </c>
      <c r="D7" s="22" t="n">
        <v>18500000</v>
      </c>
      <c r="E7" s="22" t="n">
        <v>17340000</v>
      </c>
      <c r="F7" s="24" t="n">
        <v>0.045</v>
      </c>
      <c r="G7" s="23" t="s">
        <v>142</v>
      </c>
      <c r="H7" s="23" t="s">
        <v>166</v>
      </c>
      <c r="I7" s="23" t="s">
        <v>167</v>
      </c>
      <c r="J7" s="23" t="s">
        <v>161</v>
      </c>
      <c r="K7" s="34" t="n">
        <f aca="false">E7*F7+E7*0.015</f>
        <v>1040400</v>
      </c>
      <c r="L7" s="25" t="n">
        <v>1.89</v>
      </c>
      <c r="M7" s="23"/>
      <c r="N7" s="23" t="s">
        <v>168</v>
      </c>
      <c r="O7" s="23" t="s">
        <v>147</v>
      </c>
      <c r="P7" s="23" t="s">
        <v>169</v>
      </c>
    </row>
    <row r="8" customFormat="false" ht="15" hidden="false" customHeight="false" outlineLevel="0" collapsed="false">
      <c r="A8" s="15" t="s">
        <v>63</v>
      </c>
      <c r="B8" s="15" t="s">
        <v>170</v>
      </c>
      <c r="C8" s="15" t="s">
        <v>171</v>
      </c>
      <c r="D8" s="16" t="n">
        <v>22000000</v>
      </c>
      <c r="E8" s="16" t="n">
        <v>21360000</v>
      </c>
      <c r="F8" s="18" t="n">
        <v>0.0525</v>
      </c>
      <c r="G8" s="17" t="s">
        <v>172</v>
      </c>
      <c r="H8" s="17" t="s">
        <v>173</v>
      </c>
      <c r="I8" s="17" t="s">
        <v>174</v>
      </c>
      <c r="J8" s="17" t="s">
        <v>145</v>
      </c>
      <c r="K8" s="32" t="n">
        <f aca="false">E8*F8+E8*0.015</f>
        <v>1441800</v>
      </c>
      <c r="L8" s="19" t="n">
        <v>1.38</v>
      </c>
      <c r="M8" s="17"/>
      <c r="N8" s="17" t="s">
        <v>175</v>
      </c>
      <c r="O8" s="17" t="s">
        <v>176</v>
      </c>
      <c r="P8" s="17" t="s">
        <v>177</v>
      </c>
    </row>
    <row r="9" customFormat="false" ht="15" hidden="false" customHeight="false" outlineLevel="0" collapsed="false">
      <c r="A9" s="21" t="s">
        <v>68</v>
      </c>
      <c r="B9" s="21" t="s">
        <v>178</v>
      </c>
      <c r="C9" s="21" t="s">
        <v>141</v>
      </c>
      <c r="D9" s="22" t="n">
        <v>32400000</v>
      </c>
      <c r="E9" s="22" t="n">
        <v>29520000</v>
      </c>
      <c r="F9" s="24" t="n">
        <v>0.0465</v>
      </c>
      <c r="G9" s="23" t="s">
        <v>142</v>
      </c>
      <c r="H9" s="23" t="s">
        <v>179</v>
      </c>
      <c r="I9" s="23" t="s">
        <v>180</v>
      </c>
      <c r="J9" s="23" t="s">
        <v>153</v>
      </c>
      <c r="K9" s="34" t="n">
        <f aca="false">E9*F9+E9*0.015</f>
        <v>1815480</v>
      </c>
      <c r="L9" s="25" t="n">
        <v>1.55</v>
      </c>
      <c r="M9" s="23"/>
      <c r="N9" s="23" t="s">
        <v>181</v>
      </c>
      <c r="O9" s="23" t="s">
        <v>163</v>
      </c>
      <c r="P9" s="23" t="s">
        <v>182</v>
      </c>
    </row>
    <row r="10" customFormat="false" ht="15" hidden="false" customHeight="false" outlineLevel="0" collapsed="false">
      <c r="A10" s="15" t="s">
        <v>73</v>
      </c>
      <c r="B10" s="15" t="s">
        <v>183</v>
      </c>
      <c r="C10" s="15" t="s">
        <v>171</v>
      </c>
      <c r="D10" s="16" t="n">
        <v>20000000</v>
      </c>
      <c r="E10" s="16" t="n">
        <v>18900000</v>
      </c>
      <c r="F10" s="18" t="n">
        <v>0.0575</v>
      </c>
      <c r="G10" s="17" t="s">
        <v>184</v>
      </c>
      <c r="H10" s="17" t="s">
        <v>185</v>
      </c>
      <c r="I10" s="17" t="s">
        <v>186</v>
      </c>
      <c r="J10" s="17" t="s">
        <v>161</v>
      </c>
      <c r="K10" s="32" t="n">
        <f aca="false">E10*F10+E10*0.015</f>
        <v>1370250</v>
      </c>
      <c r="L10" s="19" t="n">
        <v>1.24</v>
      </c>
      <c r="M10" s="17"/>
      <c r="N10" s="17" t="s">
        <v>187</v>
      </c>
      <c r="O10" s="17" t="s">
        <v>153</v>
      </c>
      <c r="P10" s="17" t="s">
        <v>188</v>
      </c>
    </row>
    <row r="11" customFormat="false" ht="15" hidden="false" customHeight="false" outlineLevel="0" collapsed="false">
      <c r="A11" s="21" t="s">
        <v>78</v>
      </c>
      <c r="B11" s="21" t="s">
        <v>189</v>
      </c>
      <c r="C11" s="21" t="s">
        <v>190</v>
      </c>
      <c r="D11" s="22" t="n">
        <v>16500000</v>
      </c>
      <c r="E11" s="22" t="n">
        <v>15960000</v>
      </c>
      <c r="F11" s="24" t="n">
        <v>0.051</v>
      </c>
      <c r="G11" s="23" t="s">
        <v>142</v>
      </c>
      <c r="H11" s="23" t="s">
        <v>191</v>
      </c>
      <c r="I11" s="23" t="s">
        <v>192</v>
      </c>
      <c r="J11" s="23" t="s">
        <v>161</v>
      </c>
      <c r="K11" s="34" t="n">
        <f aca="false">E11*F11+E11*0.015</f>
        <v>1053360</v>
      </c>
      <c r="L11" s="25" t="n">
        <v>1.48</v>
      </c>
      <c r="M11" s="23"/>
      <c r="N11" s="23" t="s">
        <v>193</v>
      </c>
      <c r="O11" s="23" t="s">
        <v>194</v>
      </c>
      <c r="P11" s="23" t="s">
        <v>195</v>
      </c>
    </row>
    <row r="12" customFormat="false" ht="15" hidden="false" customHeight="false" outlineLevel="0" collapsed="false">
      <c r="A12" s="15" t="s">
        <v>83</v>
      </c>
      <c r="B12" s="15" t="s">
        <v>196</v>
      </c>
      <c r="C12" s="15" t="s">
        <v>158</v>
      </c>
      <c r="D12" s="16" t="n">
        <v>28000000</v>
      </c>
      <c r="E12" s="16" t="n">
        <v>26880000</v>
      </c>
      <c r="F12" s="18" t="n">
        <v>0.0395</v>
      </c>
      <c r="G12" s="17" t="s">
        <v>142</v>
      </c>
      <c r="H12" s="17" t="s">
        <v>197</v>
      </c>
      <c r="I12" s="17" t="s">
        <v>198</v>
      </c>
      <c r="J12" s="17" t="s">
        <v>153</v>
      </c>
      <c r="K12" s="32" t="n">
        <f aca="false">E12*F12+E12*0.015</f>
        <v>1464960</v>
      </c>
      <c r="L12" s="19" t="n">
        <v>1.82</v>
      </c>
      <c r="M12" s="17"/>
      <c r="N12" s="17" t="s">
        <v>199</v>
      </c>
      <c r="O12" s="17" t="s">
        <v>163</v>
      </c>
      <c r="P12" s="17" t="s">
        <v>200</v>
      </c>
    </row>
    <row r="13" customFormat="false" ht="15" hidden="false" customHeight="false" outlineLevel="0" collapsed="false">
      <c r="A13" s="21" t="s">
        <v>88</v>
      </c>
      <c r="B13" s="21" t="s">
        <v>201</v>
      </c>
      <c r="C13" s="21" t="s">
        <v>202</v>
      </c>
      <c r="D13" s="22" t="n">
        <v>25500000</v>
      </c>
      <c r="E13" s="22" t="n">
        <v>23530000</v>
      </c>
      <c r="F13" s="24" t="n">
        <v>0.0405</v>
      </c>
      <c r="G13" s="23" t="s">
        <v>142</v>
      </c>
      <c r="H13" s="23" t="s">
        <v>203</v>
      </c>
      <c r="I13" s="23" t="s">
        <v>204</v>
      </c>
      <c r="J13" s="23" t="s">
        <v>153</v>
      </c>
      <c r="K13" s="34" t="n">
        <f aca="false">E13*F13+E13*0.015</f>
        <v>1305915</v>
      </c>
      <c r="L13" s="25" t="n">
        <v>1.58</v>
      </c>
      <c r="M13" s="23"/>
      <c r="N13" s="23" t="s">
        <v>205</v>
      </c>
      <c r="O13" s="23" t="s">
        <v>147</v>
      </c>
      <c r="P13" s="23" t="s">
        <v>206</v>
      </c>
    </row>
    <row r="14" customFormat="false" ht="15" hidden="false" customHeight="false" outlineLevel="0" collapsed="false">
      <c r="A14" s="15" t="s">
        <v>93</v>
      </c>
      <c r="B14" s="15" t="s">
        <v>207</v>
      </c>
      <c r="C14" s="15" t="s">
        <v>141</v>
      </c>
      <c r="D14" s="16" t="n">
        <v>22000000</v>
      </c>
      <c r="E14" s="16" t="n">
        <v>20860000</v>
      </c>
      <c r="F14" s="18" t="n">
        <v>0.042</v>
      </c>
      <c r="G14" s="17" t="s">
        <v>142</v>
      </c>
      <c r="H14" s="17" t="s">
        <v>208</v>
      </c>
      <c r="I14" s="17" t="s">
        <v>209</v>
      </c>
      <c r="J14" s="17" t="s">
        <v>210</v>
      </c>
      <c r="K14" s="32" t="n">
        <f aca="false">E14*F14+E14*0.015</f>
        <v>1189020</v>
      </c>
      <c r="L14" s="19" t="n">
        <v>1.72</v>
      </c>
      <c r="M14" s="17"/>
      <c r="N14" s="17" t="s">
        <v>211</v>
      </c>
      <c r="O14" s="17" t="s">
        <v>163</v>
      </c>
      <c r="P14" s="17" t="s">
        <v>212</v>
      </c>
    </row>
    <row r="15" customFormat="false" ht="15" hidden="false" customHeight="false" outlineLevel="0" collapsed="false">
      <c r="A15" s="21" t="s">
        <v>98</v>
      </c>
      <c r="B15" s="21" t="s">
        <v>213</v>
      </c>
      <c r="C15" s="21" t="s">
        <v>214</v>
      </c>
      <c r="D15" s="22" t="n">
        <v>28000000</v>
      </c>
      <c r="E15" s="22" t="n">
        <v>21120000</v>
      </c>
      <c r="F15" s="24" t="n">
        <v>0.068</v>
      </c>
      <c r="G15" s="23" t="s">
        <v>215</v>
      </c>
      <c r="H15" s="23" t="s">
        <v>185</v>
      </c>
      <c r="I15" s="23" t="s">
        <v>216</v>
      </c>
      <c r="J15" s="23" t="s">
        <v>217</v>
      </c>
      <c r="K15" s="34" t="n">
        <f aca="false">E15*F15+E15*0.015</f>
        <v>1752960</v>
      </c>
      <c r="L15" s="25" t="n">
        <v>0</v>
      </c>
      <c r="M15" s="23"/>
      <c r="N15" s="23" t="s">
        <v>185</v>
      </c>
      <c r="O15" s="23" t="s">
        <v>153</v>
      </c>
      <c r="P15" s="23" t="s">
        <v>218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9" min="2" style="0" width="18"/>
  </cols>
  <sheetData>
    <row r="1" customFormat="false" ht="17.35" hidden="false" customHeight="fals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23.85" hidden="false" customHeight="false" outlineLevel="0" collapsed="false">
      <c r="A3" s="14" t="s">
        <v>25</v>
      </c>
      <c r="B3" s="14" t="s">
        <v>29</v>
      </c>
      <c r="C3" s="14" t="s">
        <v>220</v>
      </c>
      <c r="D3" s="14" t="s">
        <v>221</v>
      </c>
      <c r="E3" s="14" t="s">
        <v>222</v>
      </c>
      <c r="F3" s="14" t="s">
        <v>223</v>
      </c>
      <c r="G3" s="14" t="s">
        <v>224</v>
      </c>
      <c r="H3" s="14" t="s">
        <v>225</v>
      </c>
      <c r="I3" s="14" t="s">
        <v>226</v>
      </c>
      <c r="J3" s="14" t="s">
        <v>227</v>
      </c>
      <c r="K3" s="14" t="s">
        <v>41</v>
      </c>
      <c r="L3" s="14" t="s">
        <v>228</v>
      </c>
      <c r="M3" s="14" t="s">
        <v>15</v>
      </c>
      <c r="N3" s="14" t="s">
        <v>16</v>
      </c>
      <c r="O3" s="14" t="s">
        <v>229</v>
      </c>
      <c r="P3" s="14" t="s">
        <v>230</v>
      </c>
      <c r="Q3" s="14" t="s">
        <v>231</v>
      </c>
      <c r="R3" s="14" t="s">
        <v>232</v>
      </c>
      <c r="S3" s="14" t="s">
        <v>233</v>
      </c>
    </row>
    <row r="4" customFormat="false" ht="15" hidden="false" customHeight="false" outlineLevel="0" collapsed="false">
      <c r="A4" s="15" t="s">
        <v>43</v>
      </c>
      <c r="B4" s="16" t="n">
        <v>68500000</v>
      </c>
      <c r="C4" s="16" t="n">
        <v>72800000</v>
      </c>
      <c r="D4" s="16" t="n">
        <v>27400000</v>
      </c>
      <c r="E4" s="16" t="n">
        <v>74200000</v>
      </c>
      <c r="F4" s="32" t="n">
        <f aca="false">E4-C4</f>
        <v>1400000</v>
      </c>
      <c r="G4" s="33" t="n">
        <f aca="false">IF(C4=0,0,F4/C4)</f>
        <v>0.0192307692307692</v>
      </c>
      <c r="H4" s="16" t="n">
        <v>4800000</v>
      </c>
      <c r="I4" s="32" t="n">
        <f aca="false">E4-C4+D4</f>
        <v>28800000</v>
      </c>
      <c r="J4" s="32" t="n">
        <f aca="false">H4+I4</f>
        <v>33600000</v>
      </c>
      <c r="K4" s="18" t="n">
        <v>0.192</v>
      </c>
      <c r="L4" s="18" t="n">
        <v>0.165</v>
      </c>
      <c r="M4" s="20" t="n">
        <v>1.68</v>
      </c>
      <c r="N4" s="20" t="n">
        <v>1.52</v>
      </c>
      <c r="O4" s="18" t="n">
        <v>0.052</v>
      </c>
      <c r="P4" s="18" t="n">
        <v>0.058</v>
      </c>
      <c r="Q4" s="18" t="n">
        <v>0.06</v>
      </c>
      <c r="R4" s="18" t="n">
        <v>0.061</v>
      </c>
      <c r="S4" s="18" t="n">
        <v>0.065</v>
      </c>
    </row>
    <row r="5" customFormat="false" ht="15" hidden="false" customHeight="false" outlineLevel="0" collapsed="false">
      <c r="A5" s="21" t="s">
        <v>48</v>
      </c>
      <c r="B5" s="22" t="n">
        <v>52400000</v>
      </c>
      <c r="C5" s="22" t="n">
        <v>56200000</v>
      </c>
      <c r="D5" s="22" t="n">
        <v>18340000</v>
      </c>
      <c r="E5" s="22" t="n">
        <v>61800000</v>
      </c>
      <c r="F5" s="34" t="n">
        <f aca="false">E5-C5</f>
        <v>5600000</v>
      </c>
      <c r="G5" s="35" t="n">
        <f aca="false">IF(C5=0,0,F5/C5)</f>
        <v>0.099644128113879</v>
      </c>
      <c r="H5" s="22" t="n">
        <v>5200000</v>
      </c>
      <c r="I5" s="34" t="n">
        <f aca="false">E5-C5+D5</f>
        <v>23940000</v>
      </c>
      <c r="J5" s="34" t="n">
        <f aca="false">H5+I5</f>
        <v>29140000</v>
      </c>
      <c r="K5" s="24" t="n">
        <v>0.224</v>
      </c>
      <c r="L5" s="24" t="n">
        <v>0.198</v>
      </c>
      <c r="M5" s="26" t="n">
        <v>1.82</v>
      </c>
      <c r="N5" s="26" t="n">
        <v>1.65</v>
      </c>
      <c r="O5" s="24" t="n">
        <v>0.058</v>
      </c>
      <c r="P5" s="24" t="n">
        <v>0.055</v>
      </c>
      <c r="Q5" s="24" t="n">
        <v>0.06</v>
      </c>
      <c r="R5" s="24" t="n">
        <v>0.066</v>
      </c>
      <c r="S5" s="24" t="n">
        <v>0.07</v>
      </c>
    </row>
    <row r="6" customFormat="false" ht="15" hidden="false" customHeight="false" outlineLevel="0" collapsed="false">
      <c r="A6" s="15" t="s">
        <v>53</v>
      </c>
      <c r="B6" s="16" t="n">
        <v>41200000</v>
      </c>
      <c r="C6" s="16" t="n">
        <v>43500000</v>
      </c>
      <c r="D6" s="16" t="n">
        <v>12360000</v>
      </c>
      <c r="E6" s="16" t="n">
        <v>48600000</v>
      </c>
      <c r="F6" s="32" t="n">
        <f aca="false">E6-C6</f>
        <v>5100000</v>
      </c>
      <c r="G6" s="33" t="n">
        <f aca="false">IF(C6=0,0,F6/C6)</f>
        <v>0.117241379310345</v>
      </c>
      <c r="H6" s="16" t="n">
        <v>3800000</v>
      </c>
      <c r="I6" s="32" t="n">
        <f aca="false">E6-C6+D6</f>
        <v>17460000</v>
      </c>
      <c r="J6" s="32" t="n">
        <f aca="false">H6+I6</f>
        <v>21260000</v>
      </c>
      <c r="K6" s="18" t="n">
        <v>0.258</v>
      </c>
      <c r="L6" s="18" t="n">
        <v>0.23</v>
      </c>
      <c r="M6" s="20" t="n">
        <v>1.95</v>
      </c>
      <c r="N6" s="20" t="n">
        <v>1.78</v>
      </c>
      <c r="O6" s="18" t="n">
        <v>0.056</v>
      </c>
      <c r="P6" s="18" t="n">
        <v>0.055</v>
      </c>
      <c r="Q6" s="18" t="n">
        <v>0.059</v>
      </c>
      <c r="R6" s="18" t="n">
        <v>0.066</v>
      </c>
      <c r="S6" s="18" t="n">
        <v>0.07</v>
      </c>
    </row>
    <row r="7" customFormat="false" ht="15" hidden="false" customHeight="false" outlineLevel="0" collapsed="false">
      <c r="A7" s="21" t="s">
        <v>58</v>
      </c>
      <c r="B7" s="22" t="n">
        <v>28900000</v>
      </c>
      <c r="C7" s="22" t="n">
        <v>30800000</v>
      </c>
      <c r="D7" s="22" t="n">
        <v>11560000</v>
      </c>
      <c r="E7" s="22" t="n">
        <v>31400000</v>
      </c>
      <c r="F7" s="34" t="n">
        <f aca="false">E7-C7</f>
        <v>600000</v>
      </c>
      <c r="G7" s="35" t="n">
        <f aca="false">IF(C7=0,0,F7/C7)</f>
        <v>0.0194805194805195</v>
      </c>
      <c r="H7" s="22" t="n">
        <v>2100000</v>
      </c>
      <c r="I7" s="34" t="n">
        <f aca="false">E7-C7+D7</f>
        <v>12160000</v>
      </c>
      <c r="J7" s="34" t="n">
        <f aca="false">H7+I7</f>
        <v>14260000</v>
      </c>
      <c r="K7" s="24" t="n">
        <v>0.148</v>
      </c>
      <c r="L7" s="24" t="n">
        <v>0.122</v>
      </c>
      <c r="M7" s="26" t="n">
        <v>1.42</v>
      </c>
      <c r="N7" s="26" t="n">
        <v>1.28</v>
      </c>
      <c r="O7" s="24" t="n">
        <v>0.054</v>
      </c>
      <c r="P7" s="24" t="n">
        <v>0.06</v>
      </c>
      <c r="Q7" s="24" t="n">
        <v>0.06</v>
      </c>
      <c r="R7" s="24" t="n">
        <v>0.061</v>
      </c>
      <c r="S7" s="24" t="n">
        <v>0.065</v>
      </c>
    </row>
    <row r="8" customFormat="false" ht="15" hidden="false" customHeight="false" outlineLevel="0" collapsed="false">
      <c r="A8" s="15" t="s">
        <v>63</v>
      </c>
      <c r="B8" s="16" t="n">
        <v>35600000</v>
      </c>
      <c r="C8" s="16" t="n">
        <v>37800000</v>
      </c>
      <c r="D8" s="16" t="n">
        <v>14240000</v>
      </c>
      <c r="E8" s="16" t="n">
        <v>33800000</v>
      </c>
      <c r="F8" s="32" t="n">
        <f aca="false">E8-C8</f>
        <v>-4000000</v>
      </c>
      <c r="G8" s="33" t="n">
        <f aca="false">IF(C8=0,0,F8/C8)</f>
        <v>-0.105820105820106</v>
      </c>
      <c r="H8" s="16" t="n">
        <v>1200000</v>
      </c>
      <c r="I8" s="32" t="n">
        <f aca="false">E8-C8+D8</f>
        <v>10240000</v>
      </c>
      <c r="J8" s="32" t="n">
        <f aca="false">H8+I8</f>
        <v>11440000</v>
      </c>
      <c r="K8" s="18" t="n">
        <v>0.068</v>
      </c>
      <c r="L8" s="18" t="n">
        <v>0.042</v>
      </c>
      <c r="M8" s="20" t="n">
        <v>1.12</v>
      </c>
      <c r="N8" s="20" t="n">
        <v>1.01</v>
      </c>
      <c r="O8" s="18" t="n">
        <v>0.055</v>
      </c>
      <c r="P8" s="18" t="n">
        <v>0.065</v>
      </c>
      <c r="Q8" s="18" t="n">
        <v>0.063</v>
      </c>
      <c r="R8" s="18" t="n">
        <v>0.057</v>
      </c>
      <c r="S8" s="18" t="n">
        <v>0.06</v>
      </c>
    </row>
    <row r="9" customFormat="false" ht="15" hidden="false" customHeight="false" outlineLevel="0" collapsed="false">
      <c r="A9" s="21" t="s">
        <v>68</v>
      </c>
      <c r="B9" s="22" t="n">
        <v>44800000</v>
      </c>
      <c r="C9" s="22" t="n">
        <v>48200000</v>
      </c>
      <c r="D9" s="22" t="n">
        <v>15680000</v>
      </c>
      <c r="E9" s="22" t="n">
        <v>49200000</v>
      </c>
      <c r="F9" s="34" t="n">
        <f aca="false">E9-C9</f>
        <v>1000000</v>
      </c>
      <c r="G9" s="35" t="n">
        <f aca="false">IF(C9=0,0,F9/C9)</f>
        <v>0.020746887966805</v>
      </c>
      <c r="H9" s="22" t="n">
        <v>3400000</v>
      </c>
      <c r="I9" s="34" t="n">
        <f aca="false">E9-C9+D9</f>
        <v>16680000</v>
      </c>
      <c r="J9" s="34" t="n">
        <f aca="false">H9+I9</f>
        <v>20080000</v>
      </c>
      <c r="K9" s="24" t="n">
        <v>0.175</v>
      </c>
      <c r="L9" s="24" t="n">
        <v>0.148</v>
      </c>
      <c r="M9" s="26" t="n">
        <v>1.58</v>
      </c>
      <c r="N9" s="26" t="n">
        <v>1.42</v>
      </c>
      <c r="O9" s="24" t="n">
        <v>0.058</v>
      </c>
      <c r="P9" s="24" t="n">
        <v>0.06</v>
      </c>
      <c r="Q9" s="24" t="n">
        <v>0.064</v>
      </c>
      <c r="R9" s="24" t="n">
        <v>0.065</v>
      </c>
      <c r="S9" s="24" t="n">
        <v>0.07</v>
      </c>
    </row>
    <row r="10" customFormat="false" ht="15" hidden="false" customHeight="false" outlineLevel="0" collapsed="false">
      <c r="A10" s="15" t="s">
        <v>73</v>
      </c>
      <c r="B10" s="16" t="n">
        <v>31500000</v>
      </c>
      <c r="C10" s="16" t="n">
        <v>34200000</v>
      </c>
      <c r="D10" s="16" t="n">
        <v>12600000</v>
      </c>
      <c r="E10" s="16" t="n">
        <v>28700000</v>
      </c>
      <c r="F10" s="32" t="n">
        <f aca="false">E10-C10</f>
        <v>-5500000</v>
      </c>
      <c r="G10" s="33" t="n">
        <f aca="false">IF(C10=0,0,F10/C10)</f>
        <v>-0.160818713450292</v>
      </c>
      <c r="H10" s="16" t="n">
        <v>800000</v>
      </c>
      <c r="I10" s="32" t="n">
        <f aca="false">E10-C10+D10</f>
        <v>7100000</v>
      </c>
      <c r="J10" s="32" t="n">
        <f aca="false">H10+I10</f>
        <v>7900000</v>
      </c>
      <c r="K10" s="18" t="n">
        <v>-0.032</v>
      </c>
      <c r="L10" s="18" t="n">
        <v>-0.058</v>
      </c>
      <c r="M10" s="20" t="n">
        <v>0.88</v>
      </c>
      <c r="N10" s="20" t="n">
        <v>0.79</v>
      </c>
      <c r="O10" s="18" t="n">
        <v>0.052</v>
      </c>
      <c r="P10" s="18" t="n">
        <v>0.068</v>
      </c>
      <c r="Q10" s="18" t="n">
        <v>0.066</v>
      </c>
      <c r="R10" s="18" t="n">
        <v>0.055</v>
      </c>
      <c r="S10" s="18" t="n">
        <v>0.06</v>
      </c>
    </row>
    <row r="11" customFormat="false" ht="15" hidden="false" customHeight="false" outlineLevel="0" collapsed="false">
      <c r="A11" s="21" t="s">
        <v>78</v>
      </c>
      <c r="B11" s="22" t="n">
        <v>22800000</v>
      </c>
      <c r="C11" s="22" t="n">
        <v>24100000</v>
      </c>
      <c r="D11" s="22" t="n">
        <v>6840000</v>
      </c>
      <c r="E11" s="22" t="n">
        <v>24900000</v>
      </c>
      <c r="F11" s="34" t="n">
        <f aca="false">E11-C11</f>
        <v>800000</v>
      </c>
      <c r="G11" s="35" t="n">
        <f aca="false">IF(C11=0,0,F11/C11)</f>
        <v>0.033195020746888</v>
      </c>
      <c r="H11" s="22" t="n">
        <v>1800000</v>
      </c>
      <c r="I11" s="34" t="n">
        <f aca="false">E11-C11+D11</f>
        <v>7640000</v>
      </c>
      <c r="J11" s="34" t="n">
        <f aca="false">H11+I11</f>
        <v>9440000</v>
      </c>
      <c r="K11" s="24" t="n">
        <v>0.138</v>
      </c>
      <c r="L11" s="24" t="n">
        <v>0.112</v>
      </c>
      <c r="M11" s="26" t="n">
        <v>1.45</v>
      </c>
      <c r="N11" s="26" t="n">
        <v>1.32</v>
      </c>
      <c r="O11" s="24" t="n">
        <v>0.062</v>
      </c>
      <c r="P11" s="24" t="n">
        <v>0.065</v>
      </c>
      <c r="Q11" s="24" t="n">
        <v>0.064</v>
      </c>
      <c r="R11" s="24" t="n">
        <v>0.066</v>
      </c>
      <c r="S11" s="24" t="n">
        <v>0.07</v>
      </c>
    </row>
    <row r="12" customFormat="false" ht="15" hidden="false" customHeight="false" outlineLevel="0" collapsed="false">
      <c r="A12" s="15" t="s">
        <v>83</v>
      </c>
      <c r="B12" s="16" t="n">
        <v>38400000</v>
      </c>
      <c r="C12" s="16" t="n">
        <v>40600000</v>
      </c>
      <c r="D12" s="16" t="n">
        <v>11520000</v>
      </c>
      <c r="E12" s="16" t="n">
        <v>43500000</v>
      </c>
      <c r="F12" s="32" t="n">
        <f aca="false">E12-C12</f>
        <v>2900000</v>
      </c>
      <c r="G12" s="33" t="n">
        <f aca="false">IF(C12=0,0,F12/C12)</f>
        <v>0.0714285714285714</v>
      </c>
      <c r="H12" s="16" t="n">
        <v>2900000</v>
      </c>
      <c r="I12" s="32" t="n">
        <f aca="false">E12-C12+D12</f>
        <v>14420000</v>
      </c>
      <c r="J12" s="32" t="n">
        <f aca="false">H12+I12</f>
        <v>17320000</v>
      </c>
      <c r="K12" s="18" t="n">
        <v>0.215</v>
      </c>
      <c r="L12" s="18" t="n">
        <v>0.188</v>
      </c>
      <c r="M12" s="20" t="n">
        <v>1.72</v>
      </c>
      <c r="N12" s="20" t="n">
        <v>1.55</v>
      </c>
      <c r="O12" s="18" t="n">
        <v>0.058</v>
      </c>
      <c r="P12" s="18" t="n">
        <v>0.058</v>
      </c>
      <c r="Q12" s="18" t="n">
        <v>0.062</v>
      </c>
      <c r="R12" s="18" t="n">
        <v>0.066</v>
      </c>
      <c r="S12" s="18" t="n">
        <v>0.07</v>
      </c>
    </row>
    <row r="13" customFormat="false" ht="15" hidden="false" customHeight="false" outlineLevel="0" collapsed="false">
      <c r="A13" s="21" t="s">
        <v>88</v>
      </c>
      <c r="B13" s="22" t="n">
        <v>36200000</v>
      </c>
      <c r="C13" s="22" t="n">
        <v>38400000</v>
      </c>
      <c r="D13" s="22" t="n">
        <v>12670000</v>
      </c>
      <c r="E13" s="22" t="n">
        <v>39100000</v>
      </c>
      <c r="F13" s="34" t="n">
        <f aca="false">E13-C13</f>
        <v>700000</v>
      </c>
      <c r="G13" s="35" t="n">
        <f aca="false">IF(C13=0,0,F13/C13)</f>
        <v>0.0182291666666667</v>
      </c>
      <c r="H13" s="22" t="n">
        <v>2200000</v>
      </c>
      <c r="I13" s="34" t="n">
        <f aca="false">E13-C13+D13</f>
        <v>13370000</v>
      </c>
      <c r="J13" s="34" t="n">
        <f aca="false">H13+I13</f>
        <v>15570000</v>
      </c>
      <c r="K13" s="24" t="n">
        <v>0.182</v>
      </c>
      <c r="L13" s="24" t="n">
        <v>0.155</v>
      </c>
      <c r="M13" s="26" t="n">
        <v>1.55</v>
      </c>
      <c r="N13" s="26" t="n">
        <v>1.4</v>
      </c>
      <c r="O13" s="24" t="n">
        <v>0.06</v>
      </c>
      <c r="P13" s="24" t="n">
        <v>0.058</v>
      </c>
      <c r="Q13" s="24" t="n">
        <v>0.065</v>
      </c>
      <c r="R13" s="24" t="n">
        <v>0.066</v>
      </c>
      <c r="S13" s="24" t="n">
        <v>0.07</v>
      </c>
    </row>
    <row r="14" customFormat="false" ht="15" hidden="false" customHeight="false" outlineLevel="0" collapsed="false">
      <c r="A14" s="15" t="s">
        <v>93</v>
      </c>
      <c r="B14" s="16" t="n">
        <v>29800000</v>
      </c>
      <c r="C14" s="16" t="n">
        <v>31200000</v>
      </c>
      <c r="D14" s="16" t="n">
        <v>8940000</v>
      </c>
      <c r="E14" s="16" t="n">
        <v>34200000</v>
      </c>
      <c r="F14" s="32" t="n">
        <f aca="false">E14-C14</f>
        <v>3000000</v>
      </c>
      <c r="G14" s="33" t="n">
        <f aca="false">IF(C14=0,0,F14/C14)</f>
        <v>0.0961538461538462</v>
      </c>
      <c r="H14" s="16" t="n">
        <v>1600000</v>
      </c>
      <c r="I14" s="32" t="n">
        <f aca="false">E14-C14+D14</f>
        <v>11940000</v>
      </c>
      <c r="J14" s="32" t="n">
        <f aca="false">H14+I14</f>
        <v>13540000</v>
      </c>
      <c r="K14" s="18" t="n">
        <v>0.198</v>
      </c>
      <c r="L14" s="18" t="n">
        <v>0.172</v>
      </c>
      <c r="M14" s="20" t="n">
        <v>1.62</v>
      </c>
      <c r="N14" s="20" t="n">
        <v>1.48</v>
      </c>
      <c r="O14" s="18" t="n">
        <v>0.062</v>
      </c>
      <c r="P14" s="18" t="n">
        <v>0.06</v>
      </c>
      <c r="Q14" s="18" t="n">
        <v>0.061</v>
      </c>
      <c r="R14" s="18" t="n">
        <v>0.067</v>
      </c>
      <c r="S14" s="18" t="n">
        <v>0.07</v>
      </c>
    </row>
    <row r="15" customFormat="false" ht="15" hidden="false" customHeight="false" outlineLevel="0" collapsed="false">
      <c r="A15" s="21" t="s">
        <v>98</v>
      </c>
      <c r="B15" s="22" t="n">
        <v>52800000</v>
      </c>
      <c r="C15" s="22" t="n">
        <v>52800000</v>
      </c>
      <c r="D15" s="22" t="n">
        <v>26400000</v>
      </c>
      <c r="E15" s="22" t="n">
        <v>43400000</v>
      </c>
      <c r="F15" s="34" t="n">
        <f aca="false">E15-C15</f>
        <v>-9400000</v>
      </c>
      <c r="G15" s="35" t="n">
        <f aca="false">IF(C15=0,0,F15/C15)</f>
        <v>-0.178030303030303</v>
      </c>
      <c r="H15" s="22" t="n">
        <v>0</v>
      </c>
      <c r="I15" s="34" t="n">
        <f aca="false">E15-C15+D15</f>
        <v>17000000</v>
      </c>
      <c r="J15" s="34" t="n">
        <f aca="false">H15+I15</f>
        <v>17000000</v>
      </c>
      <c r="K15" s="24" t="n">
        <v>-0.085</v>
      </c>
      <c r="L15" s="24" t="n">
        <v>-0.11</v>
      </c>
      <c r="M15" s="26" t="n">
        <v>0.78</v>
      </c>
      <c r="N15" s="26" t="n">
        <v>0.7</v>
      </c>
      <c r="O15" s="24" t="n">
        <v>0</v>
      </c>
      <c r="P15" s="24" t="n">
        <v>0.055</v>
      </c>
      <c r="Q15" s="24" t="n">
        <v>0</v>
      </c>
      <c r="R15" s="24" t="n">
        <v>0</v>
      </c>
      <c r="S15" s="24" t="n">
        <v>0.068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20"/>
  </cols>
  <sheetData>
    <row r="1" customFormat="false" ht="17.35" hidden="false" customHeight="false" outlineLevel="0" collapsed="false">
      <c r="A1" s="1" t="s">
        <v>234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8" t="s">
        <v>235</v>
      </c>
    </row>
    <row r="4" customFormat="false" ht="23.85" hidden="false" customHeight="false" outlineLevel="0" collapsed="false">
      <c r="A4" s="14" t="s">
        <v>105</v>
      </c>
      <c r="B4" s="14" t="s">
        <v>236</v>
      </c>
      <c r="C4" s="14" t="s">
        <v>237</v>
      </c>
      <c r="D4" s="14" t="s">
        <v>238</v>
      </c>
      <c r="E4" s="14" t="s">
        <v>239</v>
      </c>
      <c r="F4" s="14" t="s">
        <v>223</v>
      </c>
      <c r="G4" s="14" t="s">
        <v>240</v>
      </c>
      <c r="H4" s="14" t="s">
        <v>241</v>
      </c>
      <c r="I4" s="14" t="s">
        <v>242</v>
      </c>
    </row>
    <row r="5" customFormat="false" ht="15" hidden="false" customHeight="false" outlineLevel="0" collapsed="false">
      <c r="A5" s="15" t="s">
        <v>243</v>
      </c>
      <c r="B5" s="39" t="n">
        <v>0</v>
      </c>
      <c r="C5" s="40" t="n">
        <v>42000000</v>
      </c>
      <c r="D5" s="40" t="n">
        <v>-525000</v>
      </c>
      <c r="E5" s="40" t="n">
        <v>0</v>
      </c>
      <c r="F5" s="40" t="n">
        <v>-210000</v>
      </c>
      <c r="G5" s="40" t="n">
        <v>-840000</v>
      </c>
      <c r="H5" s="40" t="n">
        <v>0</v>
      </c>
      <c r="I5" s="41" t="n">
        <f aca="false">SUM(B5:H5)</f>
        <v>40425000</v>
      </c>
    </row>
    <row r="6" customFormat="false" ht="15" hidden="false" customHeight="false" outlineLevel="0" collapsed="false">
      <c r="A6" s="21" t="s">
        <v>244</v>
      </c>
      <c r="B6" s="42" t="n">
        <f aca="false">I5</f>
        <v>40425000</v>
      </c>
      <c r="C6" s="43" t="n">
        <v>38000000</v>
      </c>
      <c r="D6" s="43" t="n">
        <v>-1000000</v>
      </c>
      <c r="E6" s="43" t="n">
        <v>0</v>
      </c>
      <c r="F6" s="43" t="n">
        <v>1200000</v>
      </c>
      <c r="G6" s="43" t="n">
        <v>-320000</v>
      </c>
      <c r="H6" s="43" t="n">
        <v>0</v>
      </c>
      <c r="I6" s="44" t="n">
        <f aca="false">SUM(B6:H6)</f>
        <v>78305000</v>
      </c>
    </row>
    <row r="7" customFormat="false" ht="15" hidden="false" customHeight="false" outlineLevel="0" collapsed="false">
      <c r="A7" s="15" t="s">
        <v>245</v>
      </c>
      <c r="B7" s="45" t="n">
        <f aca="false">I6</f>
        <v>78305000</v>
      </c>
      <c r="C7" s="40" t="n">
        <v>28500000</v>
      </c>
      <c r="D7" s="40" t="n">
        <v>-1356250</v>
      </c>
      <c r="E7" s="40" t="n">
        <v>0</v>
      </c>
      <c r="F7" s="40" t="n">
        <v>2850000</v>
      </c>
      <c r="G7" s="40" t="n">
        <v>425000</v>
      </c>
      <c r="H7" s="40" t="n">
        <v>0</v>
      </c>
      <c r="I7" s="41" t="n">
        <f aca="false">SUM(B7:H7)</f>
        <v>108723750</v>
      </c>
    </row>
    <row r="8" customFormat="false" ht="15" hidden="false" customHeight="false" outlineLevel="0" collapsed="false">
      <c r="A8" s="21" t="s">
        <v>246</v>
      </c>
      <c r="B8" s="42" t="n">
        <f aca="false">I7</f>
        <v>108723750</v>
      </c>
      <c r="C8" s="43" t="n">
        <v>15200000</v>
      </c>
      <c r="D8" s="43" t="n">
        <v>-1568750</v>
      </c>
      <c r="E8" s="43" t="n">
        <v>-1200000</v>
      </c>
      <c r="F8" s="43" t="n">
        <v>4100000</v>
      </c>
      <c r="G8" s="43" t="n">
        <v>1850000</v>
      </c>
      <c r="H8" s="43" t="n">
        <v>0</v>
      </c>
      <c r="I8" s="44" t="n">
        <f aca="false">SUM(B8:H8)</f>
        <v>127105000</v>
      </c>
    </row>
    <row r="9" customFormat="false" ht="15" hidden="false" customHeight="false" outlineLevel="0" collapsed="false">
      <c r="A9" s="15" t="s">
        <v>247</v>
      </c>
      <c r="B9" s="45" t="n">
        <f aca="false">I8</f>
        <v>127105000</v>
      </c>
      <c r="C9" s="40" t="n">
        <v>22400000</v>
      </c>
      <c r="D9" s="40" t="n">
        <v>-1831250</v>
      </c>
      <c r="E9" s="40" t="n">
        <v>-1800000</v>
      </c>
      <c r="F9" s="40" t="n">
        <v>3200000</v>
      </c>
      <c r="G9" s="40" t="n">
        <v>2100000</v>
      </c>
      <c r="H9" s="40" t="n">
        <v>0</v>
      </c>
      <c r="I9" s="41" t="n">
        <f aca="false">SUM(B9:H9)</f>
        <v>151173750</v>
      </c>
    </row>
    <row r="10" customFormat="false" ht="15" hidden="false" customHeight="false" outlineLevel="0" collapsed="false">
      <c r="A10" s="21" t="s">
        <v>248</v>
      </c>
      <c r="B10" s="42" t="n">
        <f aca="false">I9</f>
        <v>151173750</v>
      </c>
      <c r="C10" s="43" t="n">
        <v>18600000</v>
      </c>
      <c r="D10" s="43" t="n">
        <v>-2063750</v>
      </c>
      <c r="E10" s="43" t="n">
        <v>-2400000</v>
      </c>
      <c r="F10" s="43" t="n">
        <v>5400000</v>
      </c>
      <c r="G10" s="43" t="n">
        <v>2800000</v>
      </c>
      <c r="H10" s="43" t="n">
        <v>0</v>
      </c>
      <c r="I10" s="44" t="n">
        <f aca="false">SUM(B10:H10)</f>
        <v>173510000</v>
      </c>
    </row>
    <row r="11" customFormat="false" ht="15" hidden="false" customHeight="false" outlineLevel="0" collapsed="false">
      <c r="A11" s="15" t="s">
        <v>249</v>
      </c>
      <c r="B11" s="45" t="n">
        <f aca="false">I10</f>
        <v>173510000</v>
      </c>
      <c r="C11" s="40" t="n">
        <v>16800000</v>
      </c>
      <c r="D11" s="40" t="n">
        <v>-2273750</v>
      </c>
      <c r="E11" s="40" t="n">
        <v>-2800000</v>
      </c>
      <c r="F11" s="40" t="n">
        <v>-3200000</v>
      </c>
      <c r="G11" s="40" t="n">
        <v>1900000</v>
      </c>
      <c r="H11" s="40" t="n">
        <v>0</v>
      </c>
      <c r="I11" s="41" t="n">
        <f aca="false">SUM(B11:H11)</f>
        <v>183936250</v>
      </c>
    </row>
    <row r="12" customFormat="false" ht="15" hidden="false" customHeight="false" outlineLevel="0" collapsed="false">
      <c r="A12" s="21" t="s">
        <v>250</v>
      </c>
      <c r="B12" s="42" t="n">
        <f aca="false">I11</f>
        <v>183936250</v>
      </c>
      <c r="C12" s="43" t="n">
        <v>12500000</v>
      </c>
      <c r="D12" s="43" t="n">
        <v>-2440000</v>
      </c>
      <c r="E12" s="43" t="n">
        <v>-3200000</v>
      </c>
      <c r="F12" s="43" t="n">
        <v>-6800000</v>
      </c>
      <c r="G12" s="43" t="n">
        <v>2200000</v>
      </c>
      <c r="H12" s="43" t="n">
        <v>0</v>
      </c>
      <c r="I12" s="44" t="n">
        <f aca="false">SUM(B12:H12)</f>
        <v>186196250</v>
      </c>
    </row>
    <row r="13" customFormat="false" ht="15" hidden="false" customHeight="false" outlineLevel="0" collapsed="false">
      <c r="A13" s="15" t="s">
        <v>251</v>
      </c>
      <c r="B13" s="45" t="n">
        <f aca="false">I12</f>
        <v>186196250</v>
      </c>
      <c r="C13" s="40" t="n">
        <v>18200000</v>
      </c>
      <c r="D13" s="40" t="n">
        <v>-2668750</v>
      </c>
      <c r="E13" s="40" t="n">
        <v>-3600000</v>
      </c>
      <c r="F13" s="40" t="n">
        <v>4200000</v>
      </c>
      <c r="G13" s="40" t="n">
        <v>2800000</v>
      </c>
      <c r="H13" s="40" t="n">
        <v>0</v>
      </c>
      <c r="I13" s="41" t="n">
        <f aca="false">SUM(B13:H13)</f>
        <v>205127500</v>
      </c>
    </row>
    <row r="14" customFormat="false" ht="15" hidden="false" customHeight="false" outlineLevel="0" collapsed="false">
      <c r="A14" s="21" t="s">
        <v>252</v>
      </c>
      <c r="B14" s="42" t="n">
        <f aca="false">I13</f>
        <v>205127500</v>
      </c>
      <c r="C14" s="43" t="n">
        <v>14800000</v>
      </c>
      <c r="D14" s="43" t="n">
        <v>-2853750</v>
      </c>
      <c r="E14" s="43" t="n">
        <v>-4000000</v>
      </c>
      <c r="F14" s="43" t="n">
        <v>6800000</v>
      </c>
      <c r="G14" s="43" t="n">
        <v>3400000</v>
      </c>
      <c r="H14" s="43" t="n">
        <v>0</v>
      </c>
      <c r="I14" s="44" t="n">
        <f aca="false">SUM(B14:H14)</f>
        <v>223273750</v>
      </c>
    </row>
    <row r="15" customFormat="false" ht="15" hidden="false" customHeight="false" outlineLevel="0" collapsed="false">
      <c r="A15" s="15" t="s">
        <v>253</v>
      </c>
      <c r="B15" s="45" t="n">
        <f aca="false">I14</f>
        <v>223273750</v>
      </c>
      <c r="C15" s="40" t="n">
        <v>12400000</v>
      </c>
      <c r="D15" s="40" t="n">
        <v>-3008750</v>
      </c>
      <c r="E15" s="40" t="n">
        <v>-4200000</v>
      </c>
      <c r="F15" s="40" t="n">
        <v>8200000</v>
      </c>
      <c r="G15" s="40" t="n">
        <v>3800000</v>
      </c>
      <c r="H15" s="40" t="n">
        <v>0</v>
      </c>
      <c r="I15" s="41" t="n">
        <f aca="false">SUM(B15:H15)</f>
        <v>240465000</v>
      </c>
    </row>
    <row r="16" customFormat="false" ht="15" hidden="false" customHeight="false" outlineLevel="0" collapsed="false">
      <c r="A16" s="21" t="s">
        <v>254</v>
      </c>
      <c r="B16" s="42" t="n">
        <f aca="false">I15</f>
        <v>240465000</v>
      </c>
      <c r="C16" s="43" t="n">
        <v>5200000</v>
      </c>
      <c r="D16" s="43" t="n">
        <v>-3073750</v>
      </c>
      <c r="E16" s="43" t="n">
        <v>-4800000</v>
      </c>
      <c r="F16" s="43" t="n">
        <v>5400000</v>
      </c>
      <c r="G16" s="43" t="n">
        <v>4200000</v>
      </c>
      <c r="H16" s="43" t="n">
        <v>0</v>
      </c>
      <c r="I16" s="44" t="n">
        <f aca="false">SUM(B16:H16)</f>
        <v>247391250</v>
      </c>
    </row>
    <row r="17" customFormat="false" ht="15" hidden="false" customHeight="false" outlineLevel="0" collapsed="false">
      <c r="A17" s="15" t="s">
        <v>255</v>
      </c>
      <c r="B17" s="45" t="n">
        <f aca="false">I16</f>
        <v>247391250</v>
      </c>
      <c r="C17" s="40" t="n">
        <v>2100000</v>
      </c>
      <c r="D17" s="40" t="n">
        <v>-3100000</v>
      </c>
      <c r="E17" s="40" t="n">
        <v>-5200000</v>
      </c>
      <c r="F17" s="40" t="n">
        <v>7800000</v>
      </c>
      <c r="G17" s="40" t="n">
        <v>4600000</v>
      </c>
      <c r="H17" s="40" t="n">
        <v>0</v>
      </c>
      <c r="I17" s="41" t="n">
        <f aca="false">SUM(B17:H17)</f>
        <v>253591250</v>
      </c>
    </row>
    <row r="18" customFormat="false" ht="15" hidden="false" customHeight="false" outlineLevel="0" collapsed="false">
      <c r="A18" s="21" t="s">
        <v>256</v>
      </c>
      <c r="B18" s="42" t="n">
        <f aca="false">I17</f>
        <v>253591250</v>
      </c>
      <c r="C18" s="43" t="n">
        <v>800000</v>
      </c>
      <c r="D18" s="43" t="n">
        <v>-3110000</v>
      </c>
      <c r="E18" s="43" t="n">
        <v>-5600000</v>
      </c>
      <c r="F18" s="43" t="n">
        <v>9200000</v>
      </c>
      <c r="G18" s="43" t="n">
        <v>5100000</v>
      </c>
      <c r="H18" s="43" t="n">
        <v>0</v>
      </c>
      <c r="I18" s="44" t="n">
        <f aca="false">SUM(B18:H18)</f>
        <v>259981250</v>
      </c>
    </row>
    <row r="19" customFormat="false" ht="15" hidden="false" customHeight="false" outlineLevel="0" collapsed="false">
      <c r="A19" s="15" t="s">
        <v>257</v>
      </c>
      <c r="B19" s="45" t="n">
        <f aca="false">I18</f>
        <v>259981250</v>
      </c>
      <c r="C19" s="40" t="n">
        <v>500000</v>
      </c>
      <c r="D19" s="40" t="n">
        <v>-3116250</v>
      </c>
      <c r="E19" s="40" t="n">
        <v>-5800000</v>
      </c>
      <c r="F19" s="40" t="n">
        <v>6400000</v>
      </c>
      <c r="G19" s="40" t="n">
        <v>5400000</v>
      </c>
      <c r="H19" s="40" t="n">
        <v>0</v>
      </c>
      <c r="I19" s="41" t="n">
        <f aca="false">SUM(B19:H19)</f>
        <v>263365000</v>
      </c>
    </row>
    <row r="20" customFormat="false" ht="15" hidden="false" customHeight="false" outlineLevel="0" collapsed="false">
      <c r="A20" s="21" t="s">
        <v>258</v>
      </c>
      <c r="B20" s="42" t="n">
        <f aca="false">I19</f>
        <v>263365000</v>
      </c>
      <c r="C20" s="43" t="n">
        <v>200000</v>
      </c>
      <c r="D20" s="43" t="n">
        <v>-3118750</v>
      </c>
      <c r="E20" s="43" t="n">
        <v>-6200000</v>
      </c>
      <c r="F20" s="43" t="n">
        <v>8800000</v>
      </c>
      <c r="G20" s="43" t="n">
        <v>5800000</v>
      </c>
      <c r="H20" s="43" t="n">
        <v>0</v>
      </c>
      <c r="I20" s="44" t="n">
        <f aca="false">SUM(B20:H20)</f>
        <v>268846250</v>
      </c>
    </row>
    <row r="21" customFormat="false" ht="15" hidden="false" customHeight="false" outlineLevel="0" collapsed="false">
      <c r="A21" s="15" t="s">
        <v>259</v>
      </c>
      <c r="B21" s="45" t="n">
        <f aca="false">I20</f>
        <v>268846250</v>
      </c>
      <c r="C21" s="40" t="n">
        <v>0</v>
      </c>
      <c r="D21" s="40" t="n">
        <v>-3118750</v>
      </c>
      <c r="E21" s="40" t="n">
        <v>-6800000</v>
      </c>
      <c r="F21" s="40" t="n">
        <v>5200000</v>
      </c>
      <c r="G21" s="40" t="n">
        <v>6100000</v>
      </c>
      <c r="H21" s="40" t="n">
        <v>0</v>
      </c>
      <c r="I21" s="41" t="n">
        <f aca="false">SUM(B21:H21)</f>
        <v>270227500</v>
      </c>
    </row>
    <row r="22" customFormat="false" ht="15" hidden="false" customHeight="false" outlineLevel="0" collapsed="false">
      <c r="A22" s="21" t="s">
        <v>260</v>
      </c>
      <c r="B22" s="42" t="n">
        <f aca="false">I21</f>
        <v>270227500</v>
      </c>
      <c r="C22" s="43" t="n">
        <v>0</v>
      </c>
      <c r="D22" s="43" t="n">
        <v>-3118750</v>
      </c>
      <c r="E22" s="43" t="n">
        <v>-7200000</v>
      </c>
      <c r="F22" s="43" t="n">
        <v>7400000</v>
      </c>
      <c r="G22" s="43" t="n">
        <v>6400000</v>
      </c>
      <c r="H22" s="43" t="n">
        <v>0</v>
      </c>
      <c r="I22" s="44" t="n">
        <f aca="false">SUM(B22:H22)</f>
        <v>273708750</v>
      </c>
    </row>
    <row r="23" customFormat="false" ht="15" hidden="false" customHeight="false" outlineLevel="0" collapsed="false">
      <c r="A23" s="15" t="s">
        <v>261</v>
      </c>
      <c r="B23" s="45" t="n">
        <f aca="false">I22</f>
        <v>273708750</v>
      </c>
      <c r="C23" s="40" t="n">
        <v>0</v>
      </c>
      <c r="D23" s="40" t="n">
        <v>-3118750</v>
      </c>
      <c r="E23" s="40" t="n">
        <v>-7600000</v>
      </c>
      <c r="F23" s="40" t="n">
        <v>4800000</v>
      </c>
      <c r="G23" s="40" t="n">
        <v>6600000</v>
      </c>
      <c r="H23" s="40" t="n">
        <v>0</v>
      </c>
      <c r="I23" s="41" t="n">
        <f aca="false">SUM(B23:H23)</f>
        <v>274390000</v>
      </c>
    </row>
    <row r="24" customFormat="false" ht="15" hidden="false" customHeight="false" outlineLevel="0" collapsed="false">
      <c r="A24" s="27" t="s">
        <v>262</v>
      </c>
      <c r="B24" s="46" t="n">
        <f aca="false">SUM(B5:B23)</f>
        <v>3555352500</v>
      </c>
      <c r="C24" s="46" t="n">
        <f aca="false">SUM(C5:C23)</f>
        <v>248200000</v>
      </c>
      <c r="D24" s="46" t="n">
        <f aca="false">SUM(D5:D23)</f>
        <v>-46465000</v>
      </c>
      <c r="E24" s="46" t="n">
        <f aca="false">SUM(E5:E23)</f>
        <v>-72400000</v>
      </c>
      <c r="F24" s="46" t="n">
        <f aca="false">SUM(F5:F23)</f>
        <v>80740000</v>
      </c>
      <c r="G24" s="46" t="n">
        <f aca="false">SUM(G5:G23)</f>
        <v>64315000</v>
      </c>
      <c r="H24" s="46" t="n">
        <f aca="false">SUM(H5:H23)</f>
        <v>0</v>
      </c>
      <c r="I24" s="46" t="n">
        <f aca="false">SUM(I5:I23)</f>
        <v>3829742500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11" min="3" style="0" width="18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3.85" hidden="false" customHeight="false" outlineLevel="0" collapsed="false">
      <c r="A3" s="14" t="s">
        <v>25</v>
      </c>
      <c r="B3" s="14" t="s">
        <v>264</v>
      </c>
      <c r="C3" s="14" t="s">
        <v>265</v>
      </c>
      <c r="D3" s="14" t="s">
        <v>266</v>
      </c>
      <c r="E3" s="14" t="s">
        <v>267</v>
      </c>
      <c r="F3" s="14" t="s">
        <v>268</v>
      </c>
      <c r="G3" s="14" t="s">
        <v>269</v>
      </c>
      <c r="H3" s="14" t="s">
        <v>270</v>
      </c>
      <c r="I3" s="14" t="s">
        <v>271</v>
      </c>
      <c r="J3" s="14" t="s">
        <v>272</v>
      </c>
      <c r="K3" s="14" t="s">
        <v>273</v>
      </c>
      <c r="L3" s="14" t="s">
        <v>274</v>
      </c>
    </row>
    <row r="4" customFormat="false" ht="15" hidden="false" customHeight="false" outlineLevel="0" collapsed="false">
      <c r="A4" s="47" t="s">
        <v>43</v>
      </c>
      <c r="B4" s="47" t="s">
        <v>275</v>
      </c>
      <c r="C4" s="17" t="s">
        <v>276</v>
      </c>
      <c r="D4" s="18" t="n">
        <v>0.288</v>
      </c>
      <c r="E4" s="16" t="n">
        <v>4920000</v>
      </c>
      <c r="F4" s="17" t="s">
        <v>277</v>
      </c>
      <c r="G4" s="17" t="s">
        <v>278</v>
      </c>
      <c r="H4" s="17" t="s">
        <v>279</v>
      </c>
      <c r="I4" s="17" t="n">
        <v>6.3</v>
      </c>
      <c r="J4" s="17" t="s">
        <v>280</v>
      </c>
      <c r="K4" s="17" t="s">
        <v>281</v>
      </c>
      <c r="L4" s="47" t="s">
        <v>282</v>
      </c>
    </row>
    <row r="5" customFormat="false" ht="15" hidden="false" customHeight="false" outlineLevel="0" collapsed="false">
      <c r="A5" s="48" t="s">
        <v>43</v>
      </c>
      <c r="B5" s="48" t="s">
        <v>283</v>
      </c>
      <c r="C5" s="23" t="s">
        <v>284</v>
      </c>
      <c r="D5" s="24" t="n">
        <v>0.239</v>
      </c>
      <c r="E5" s="22" t="n">
        <v>3740000</v>
      </c>
      <c r="F5" s="23" t="s">
        <v>285</v>
      </c>
      <c r="G5" s="23" t="s">
        <v>286</v>
      </c>
      <c r="H5" s="23" t="s">
        <v>287</v>
      </c>
      <c r="I5" s="23" t="n">
        <v>4.7</v>
      </c>
      <c r="J5" s="23" t="s">
        <v>288</v>
      </c>
      <c r="K5" s="23" t="s">
        <v>289</v>
      </c>
      <c r="L5" s="48" t="s">
        <v>290</v>
      </c>
    </row>
    <row r="6" customFormat="false" ht="15" hidden="false" customHeight="false" outlineLevel="0" collapsed="false">
      <c r="A6" s="47" t="s">
        <v>43</v>
      </c>
      <c r="B6" s="47" t="s">
        <v>291</v>
      </c>
      <c r="C6" s="17" t="s">
        <v>62</v>
      </c>
      <c r="D6" s="18" t="n">
        <v>0.414</v>
      </c>
      <c r="E6" s="16" t="n">
        <v>5310000</v>
      </c>
      <c r="F6" s="17" t="s">
        <v>292</v>
      </c>
      <c r="G6" s="17" t="s">
        <v>293</v>
      </c>
      <c r="H6" s="17" t="s">
        <v>294</v>
      </c>
      <c r="I6" s="17" t="s">
        <v>295</v>
      </c>
      <c r="J6" s="17" t="s">
        <v>296</v>
      </c>
      <c r="K6" s="17" t="s">
        <v>297</v>
      </c>
      <c r="L6" s="47" t="s">
        <v>298</v>
      </c>
    </row>
    <row r="7" customFormat="false" ht="15" hidden="false" customHeight="false" outlineLevel="0" collapsed="false">
      <c r="A7" s="49" t="s">
        <v>43</v>
      </c>
      <c r="B7" s="49" t="s">
        <v>299</v>
      </c>
      <c r="C7" s="50" t="s">
        <v>300</v>
      </c>
      <c r="D7" s="51" t="n">
        <v>0.06</v>
      </c>
      <c r="E7" s="52" t="n">
        <v>0</v>
      </c>
      <c r="F7" s="50" t="s">
        <v>301</v>
      </c>
      <c r="G7" s="50"/>
      <c r="H7" s="50"/>
      <c r="I7" s="50"/>
      <c r="J7" s="50"/>
      <c r="K7" s="50"/>
      <c r="L7" s="49" t="s">
        <v>302</v>
      </c>
    </row>
    <row r="8" customFormat="false" ht="15" hidden="false" customHeight="false" outlineLevel="0" collapsed="false">
      <c r="A8" s="47" t="s">
        <v>48</v>
      </c>
      <c r="B8" s="47" t="s">
        <v>303</v>
      </c>
      <c r="C8" s="17" t="s">
        <v>304</v>
      </c>
      <c r="D8" s="18" t="n">
        <v>0.474</v>
      </c>
      <c r="E8" s="16" t="n">
        <v>2841600</v>
      </c>
      <c r="F8" s="17" t="s">
        <v>305</v>
      </c>
      <c r="G8" s="17" t="s">
        <v>306</v>
      </c>
      <c r="H8" s="17" t="s">
        <v>306</v>
      </c>
      <c r="I8" s="17" t="s">
        <v>307</v>
      </c>
      <c r="J8" s="17" t="s">
        <v>308</v>
      </c>
      <c r="K8" s="17" t="s">
        <v>309</v>
      </c>
      <c r="L8" s="47" t="s">
        <v>310</v>
      </c>
    </row>
    <row r="9" customFormat="false" ht="15" hidden="false" customHeight="false" outlineLevel="0" collapsed="false">
      <c r="A9" s="48" t="s">
        <v>48</v>
      </c>
      <c r="B9" s="48" t="s">
        <v>311</v>
      </c>
      <c r="C9" s="23" t="s">
        <v>312</v>
      </c>
      <c r="D9" s="24" t="n">
        <v>0.359</v>
      </c>
      <c r="E9" s="22" t="n">
        <v>2956800</v>
      </c>
      <c r="F9" s="23" t="s">
        <v>313</v>
      </c>
      <c r="G9" s="23" t="s">
        <v>306</v>
      </c>
      <c r="H9" s="23" t="s">
        <v>306</v>
      </c>
      <c r="I9" s="23" t="s">
        <v>314</v>
      </c>
      <c r="J9" s="23" t="s">
        <v>308</v>
      </c>
      <c r="K9" s="23" t="s">
        <v>309</v>
      </c>
      <c r="L9" s="48" t="s">
        <v>315</v>
      </c>
    </row>
    <row r="10" customFormat="false" ht="15" hidden="false" customHeight="false" outlineLevel="0" collapsed="false">
      <c r="A10" s="47" t="s">
        <v>48</v>
      </c>
      <c r="B10" s="47" t="s">
        <v>316</v>
      </c>
      <c r="C10" s="17" t="s">
        <v>317</v>
      </c>
      <c r="D10" s="18" t="n">
        <v>0.128</v>
      </c>
      <c r="E10" s="16" t="n">
        <v>1344000</v>
      </c>
      <c r="F10" s="17" t="s">
        <v>318</v>
      </c>
      <c r="G10" s="17" t="s">
        <v>306</v>
      </c>
      <c r="H10" s="17" t="s">
        <v>306</v>
      </c>
      <c r="I10" s="17" t="s">
        <v>319</v>
      </c>
      <c r="J10" s="17" t="s">
        <v>308</v>
      </c>
      <c r="K10" s="17" t="s">
        <v>309</v>
      </c>
      <c r="L10" s="47" t="s">
        <v>320</v>
      </c>
    </row>
    <row r="11" customFormat="false" ht="15" hidden="false" customHeight="false" outlineLevel="0" collapsed="false">
      <c r="A11" s="49" t="s">
        <v>48</v>
      </c>
      <c r="B11" s="49" t="s">
        <v>299</v>
      </c>
      <c r="C11" s="50" t="s">
        <v>321</v>
      </c>
      <c r="D11" s="51" t="n">
        <v>0.038</v>
      </c>
      <c r="E11" s="52" t="n">
        <v>0</v>
      </c>
      <c r="F11" s="50" t="s">
        <v>322</v>
      </c>
      <c r="G11" s="50"/>
      <c r="H11" s="50"/>
      <c r="I11" s="50"/>
      <c r="J11" s="50"/>
      <c r="K11" s="50"/>
      <c r="L11" s="49" t="s">
        <v>323</v>
      </c>
    </row>
    <row r="12" customFormat="false" ht="15" hidden="false" customHeight="false" outlineLevel="0" collapsed="false">
      <c r="A12" s="47" t="s">
        <v>53</v>
      </c>
      <c r="B12" s="47" t="s">
        <v>324</v>
      </c>
      <c r="C12" s="17" t="s">
        <v>325</v>
      </c>
      <c r="D12" s="18" t="n">
        <v>0.659</v>
      </c>
      <c r="E12" s="16" t="n">
        <v>1960000</v>
      </c>
      <c r="F12" s="17" t="s">
        <v>326</v>
      </c>
      <c r="G12" s="17" t="s">
        <v>327</v>
      </c>
      <c r="H12" s="17" t="s">
        <v>328</v>
      </c>
      <c r="I12" s="17" t="n">
        <v>5.9</v>
      </c>
      <c r="J12" s="17" t="s">
        <v>329</v>
      </c>
      <c r="K12" s="17" t="s">
        <v>289</v>
      </c>
      <c r="L12" s="47" t="s">
        <v>330</v>
      </c>
    </row>
    <row r="13" customFormat="false" ht="15" hidden="false" customHeight="false" outlineLevel="0" collapsed="false">
      <c r="A13" s="48" t="s">
        <v>53</v>
      </c>
      <c r="B13" s="48" t="s">
        <v>331</v>
      </c>
      <c r="C13" s="23" t="s">
        <v>332</v>
      </c>
      <c r="D13" s="24" t="n">
        <v>0.341</v>
      </c>
      <c r="E13" s="22" t="n">
        <v>1087500</v>
      </c>
      <c r="F13" s="23" t="s">
        <v>333</v>
      </c>
      <c r="G13" s="23" t="s">
        <v>334</v>
      </c>
      <c r="H13" s="23" t="s">
        <v>335</v>
      </c>
      <c r="I13" s="23" t="n">
        <v>6.4</v>
      </c>
      <c r="J13" s="23" t="s">
        <v>280</v>
      </c>
      <c r="K13" s="23" t="s">
        <v>336</v>
      </c>
      <c r="L13" s="48" t="s">
        <v>337</v>
      </c>
    </row>
    <row r="14" customFormat="false" ht="15" hidden="false" customHeight="false" outlineLevel="0" collapsed="false">
      <c r="A14" s="47" t="s">
        <v>63</v>
      </c>
      <c r="B14" s="47" t="s">
        <v>338</v>
      </c>
      <c r="C14" s="17" t="s">
        <v>339</v>
      </c>
      <c r="D14" s="18" t="n">
        <v>0.333</v>
      </c>
      <c r="E14" s="16" t="n">
        <v>780000</v>
      </c>
      <c r="F14" s="17" t="s">
        <v>340</v>
      </c>
      <c r="G14" s="17" t="s">
        <v>341</v>
      </c>
      <c r="H14" s="17" t="s">
        <v>204</v>
      </c>
      <c r="I14" s="17" t="n">
        <v>7.6</v>
      </c>
      <c r="J14" s="17" t="s">
        <v>342</v>
      </c>
      <c r="K14" s="17" t="s">
        <v>343</v>
      </c>
      <c r="L14" s="47" t="s">
        <v>344</v>
      </c>
    </row>
    <row r="15" customFormat="false" ht="15" hidden="false" customHeight="false" outlineLevel="0" collapsed="false">
      <c r="A15" s="48" t="s">
        <v>63</v>
      </c>
      <c r="B15" s="48" t="s">
        <v>345</v>
      </c>
      <c r="C15" s="23" t="s">
        <v>346</v>
      </c>
      <c r="D15" s="24" t="n">
        <v>0.062</v>
      </c>
      <c r="E15" s="22" t="n">
        <v>300000</v>
      </c>
      <c r="F15" s="23" t="s">
        <v>347</v>
      </c>
      <c r="G15" s="23" t="s">
        <v>348</v>
      </c>
      <c r="H15" s="23" t="s">
        <v>349</v>
      </c>
      <c r="I15" s="23" t="n">
        <v>4.3</v>
      </c>
      <c r="J15" s="23" t="s">
        <v>280</v>
      </c>
      <c r="K15" s="23" t="s">
        <v>350</v>
      </c>
      <c r="L15" s="48" t="s">
        <v>337</v>
      </c>
    </row>
    <row r="16" customFormat="false" ht="15" hidden="false" customHeight="false" outlineLevel="0" collapsed="false">
      <c r="A16" s="47" t="s">
        <v>63</v>
      </c>
      <c r="B16" s="47" t="s">
        <v>351</v>
      </c>
      <c r="C16" s="17" t="s">
        <v>352</v>
      </c>
      <c r="D16" s="18" t="n">
        <v>0.523</v>
      </c>
      <c r="E16" s="16" t="n">
        <v>2244000</v>
      </c>
      <c r="F16" s="17" t="s">
        <v>353</v>
      </c>
      <c r="G16" s="17" t="s">
        <v>293</v>
      </c>
      <c r="H16" s="17" t="s">
        <v>354</v>
      </c>
      <c r="I16" s="17" t="s">
        <v>355</v>
      </c>
      <c r="J16" s="17" t="s">
        <v>296</v>
      </c>
      <c r="K16" s="17" t="s">
        <v>356</v>
      </c>
      <c r="L16" s="47" t="s">
        <v>357</v>
      </c>
    </row>
    <row r="17" customFormat="false" ht="15" hidden="false" customHeight="false" outlineLevel="0" collapsed="false">
      <c r="A17" s="49" t="s">
        <v>63</v>
      </c>
      <c r="B17" s="49" t="s">
        <v>299</v>
      </c>
      <c r="C17" s="50" t="s">
        <v>358</v>
      </c>
      <c r="D17" s="51" t="n">
        <v>0.082</v>
      </c>
      <c r="E17" s="52" t="n">
        <v>0</v>
      </c>
      <c r="F17" s="50" t="s">
        <v>301</v>
      </c>
      <c r="G17" s="50"/>
      <c r="H17" s="50"/>
      <c r="I17" s="50"/>
      <c r="J17" s="50"/>
      <c r="K17" s="50"/>
      <c r="L17" s="49" t="s">
        <v>359</v>
      </c>
    </row>
    <row r="18" customFormat="false" ht="15" hidden="false" customHeight="false" outlineLevel="0" collapsed="false">
      <c r="A18" s="47" t="s">
        <v>73</v>
      </c>
      <c r="B18" s="47" t="s">
        <v>360</v>
      </c>
      <c r="C18" s="17" t="s">
        <v>361</v>
      </c>
      <c r="D18" s="18" t="n">
        <v>0.486</v>
      </c>
      <c r="E18" s="16" t="n">
        <v>2125000</v>
      </c>
      <c r="F18" s="17" t="s">
        <v>347</v>
      </c>
      <c r="G18" s="17" t="s">
        <v>362</v>
      </c>
      <c r="H18" s="17" t="s">
        <v>363</v>
      </c>
      <c r="I18" s="17" t="n">
        <v>1.8</v>
      </c>
      <c r="J18" s="17" t="s">
        <v>364</v>
      </c>
      <c r="K18" s="17" t="s">
        <v>289</v>
      </c>
      <c r="L18" s="47" t="s">
        <v>365</v>
      </c>
    </row>
    <row r="19" customFormat="false" ht="15" hidden="false" customHeight="false" outlineLevel="0" collapsed="false">
      <c r="A19" s="48" t="s">
        <v>73</v>
      </c>
      <c r="B19" s="48" t="s">
        <v>366</v>
      </c>
      <c r="C19" s="23" t="s">
        <v>339</v>
      </c>
      <c r="D19" s="24" t="n">
        <v>0.371</v>
      </c>
      <c r="E19" s="22" t="n">
        <v>1462500</v>
      </c>
      <c r="F19" s="23" t="s">
        <v>367</v>
      </c>
      <c r="G19" s="23" t="s">
        <v>293</v>
      </c>
      <c r="H19" s="23" t="s">
        <v>368</v>
      </c>
      <c r="I19" s="23" t="s">
        <v>369</v>
      </c>
      <c r="J19" s="23" t="s">
        <v>296</v>
      </c>
      <c r="K19" s="23" t="s">
        <v>370</v>
      </c>
      <c r="L19" s="48" t="s">
        <v>371</v>
      </c>
    </row>
    <row r="20" customFormat="false" ht="15" hidden="false" customHeight="false" outlineLevel="0" collapsed="false">
      <c r="A20" s="49" t="s">
        <v>73</v>
      </c>
      <c r="B20" s="49" t="s">
        <v>299</v>
      </c>
      <c r="C20" s="50" t="s">
        <v>372</v>
      </c>
      <c r="D20" s="51" t="n">
        <v>0.143</v>
      </c>
      <c r="E20" s="52" t="n">
        <v>0</v>
      </c>
      <c r="F20" s="50" t="s">
        <v>301</v>
      </c>
      <c r="G20" s="50"/>
      <c r="H20" s="50"/>
      <c r="I20" s="50"/>
      <c r="J20" s="50"/>
      <c r="K20" s="50"/>
      <c r="L20" s="49" t="s">
        <v>373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D853F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14" min="3" style="0" width="18"/>
  </cols>
  <sheetData>
    <row r="1" customFormat="false" ht="17.35" hidden="false" customHeight="false" outlineLevel="0" collapsed="false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3.85" hidden="false" customHeight="false" outlineLevel="0" collapsed="false">
      <c r="A3" s="14" t="s">
        <v>25</v>
      </c>
      <c r="B3" s="14" t="s">
        <v>375</v>
      </c>
      <c r="C3" s="14" t="s">
        <v>376</v>
      </c>
      <c r="D3" s="14" t="s">
        <v>377</v>
      </c>
      <c r="E3" s="14" t="s">
        <v>378</v>
      </c>
      <c r="F3" s="14" t="s">
        <v>379</v>
      </c>
      <c r="G3" s="14" t="s">
        <v>380</v>
      </c>
      <c r="H3" s="14" t="s">
        <v>381</v>
      </c>
      <c r="I3" s="14" t="s">
        <v>382</v>
      </c>
      <c r="J3" s="14" t="s">
        <v>383</v>
      </c>
      <c r="K3" s="14" t="s">
        <v>384</v>
      </c>
      <c r="L3" s="14" t="s">
        <v>385</v>
      </c>
      <c r="M3" s="14" t="s">
        <v>386</v>
      </c>
      <c r="N3" s="14" t="s">
        <v>387</v>
      </c>
    </row>
    <row r="4" customFormat="false" ht="15" hidden="false" customHeight="false" outlineLevel="0" collapsed="false">
      <c r="A4" s="15" t="s">
        <v>43</v>
      </c>
      <c r="B4" s="15" t="s">
        <v>388</v>
      </c>
      <c r="C4" s="18" t="n">
        <v>0.94</v>
      </c>
      <c r="D4" s="18" t="n">
        <v>0.88</v>
      </c>
      <c r="E4" s="53" t="n">
        <f aca="false">(C4-D4)*10000</f>
        <v>599.999999999999</v>
      </c>
      <c r="F4" s="17" t="s">
        <v>389</v>
      </c>
      <c r="G4" s="17" t="s">
        <v>390</v>
      </c>
      <c r="H4" s="54" t="s">
        <v>391</v>
      </c>
      <c r="I4" s="18" t="n">
        <v>0.06</v>
      </c>
      <c r="J4" s="18" t="n">
        <v>0.055</v>
      </c>
      <c r="K4" s="53" t="n">
        <f aca="false">(I4-J4)*10000</f>
        <v>50</v>
      </c>
      <c r="L4" s="17" t="s">
        <v>392</v>
      </c>
      <c r="M4" s="17" t="s">
        <v>393</v>
      </c>
      <c r="N4" s="54" t="s">
        <v>391</v>
      </c>
    </row>
    <row r="5" customFormat="false" ht="15" hidden="false" customHeight="false" outlineLevel="0" collapsed="false">
      <c r="A5" s="21" t="s">
        <v>48</v>
      </c>
      <c r="B5" s="21" t="s">
        <v>394</v>
      </c>
      <c r="C5" s="24" t="n">
        <v>0.96</v>
      </c>
      <c r="D5" s="24" t="n">
        <v>0.93</v>
      </c>
      <c r="E5" s="55" t="n">
        <f aca="false">(C5-D5)*10000</f>
        <v>299.999999999999</v>
      </c>
      <c r="F5" s="23" t="s">
        <v>395</v>
      </c>
      <c r="G5" s="23" t="s">
        <v>396</v>
      </c>
      <c r="H5" s="56" t="s">
        <v>391</v>
      </c>
      <c r="I5" s="24" t="n">
        <v>0.06</v>
      </c>
      <c r="J5" s="24" t="n">
        <v>0.052</v>
      </c>
      <c r="K5" s="55" t="n">
        <f aca="false">(I5-J5)*10000</f>
        <v>80</v>
      </c>
      <c r="L5" s="23" t="s">
        <v>397</v>
      </c>
      <c r="M5" s="23" t="s">
        <v>398</v>
      </c>
      <c r="N5" s="56" t="s">
        <v>391</v>
      </c>
    </row>
    <row r="6" customFormat="false" ht="15" hidden="false" customHeight="false" outlineLevel="0" collapsed="false">
      <c r="A6" s="15" t="s">
        <v>53</v>
      </c>
      <c r="B6" s="15" t="s">
        <v>399</v>
      </c>
      <c r="C6" s="18" t="n">
        <v>1</v>
      </c>
      <c r="D6" s="18" t="n">
        <v>0.97</v>
      </c>
      <c r="E6" s="53" t="n">
        <f aca="false">(C6-D6)*10000</f>
        <v>300</v>
      </c>
      <c r="F6" s="17" t="s">
        <v>400</v>
      </c>
      <c r="G6" s="17" t="s">
        <v>401</v>
      </c>
      <c r="H6" s="54" t="s">
        <v>391</v>
      </c>
      <c r="I6" s="18" t="n">
        <v>0.059</v>
      </c>
      <c r="J6" s="18" t="n">
        <v>0.048</v>
      </c>
      <c r="K6" s="53" t="n">
        <f aca="false">(I6-J6)*10000</f>
        <v>110</v>
      </c>
      <c r="L6" s="17" t="s">
        <v>402</v>
      </c>
      <c r="M6" s="17" t="s">
        <v>403</v>
      </c>
      <c r="N6" s="54" t="s">
        <v>391</v>
      </c>
    </row>
    <row r="7" customFormat="false" ht="15" hidden="false" customHeight="false" outlineLevel="0" collapsed="false">
      <c r="A7" s="21" t="s">
        <v>58</v>
      </c>
      <c r="B7" s="21" t="s">
        <v>404</v>
      </c>
      <c r="C7" s="24" t="n">
        <v>0.97</v>
      </c>
      <c r="D7" s="24" t="n">
        <v>0.94</v>
      </c>
      <c r="E7" s="55" t="n">
        <f aca="false">(C7-D7)*10000</f>
        <v>300</v>
      </c>
      <c r="F7" s="23" t="s">
        <v>405</v>
      </c>
      <c r="G7" s="23" t="s">
        <v>406</v>
      </c>
      <c r="H7" s="56" t="s">
        <v>391</v>
      </c>
      <c r="I7" s="24" t="n">
        <v>0.06</v>
      </c>
      <c r="J7" s="24" t="n">
        <v>0.058</v>
      </c>
      <c r="K7" s="55" t="n">
        <f aca="false">(I7-J7)*10000</f>
        <v>19.9999999999999</v>
      </c>
      <c r="L7" s="23" t="s">
        <v>407</v>
      </c>
      <c r="M7" s="23" t="s">
        <v>408</v>
      </c>
      <c r="N7" s="56" t="s">
        <v>391</v>
      </c>
    </row>
    <row r="8" customFormat="false" ht="15" hidden="false" customHeight="false" outlineLevel="0" collapsed="false">
      <c r="A8" s="15" t="s">
        <v>63</v>
      </c>
      <c r="B8" s="15" t="s">
        <v>409</v>
      </c>
      <c r="C8" s="18" t="n">
        <v>0.92</v>
      </c>
      <c r="D8" s="18" t="n">
        <v>0.95</v>
      </c>
      <c r="E8" s="53" t="n">
        <f aca="false">(C8-D8)*10000</f>
        <v>-299.999999999999</v>
      </c>
      <c r="F8" s="17" t="s">
        <v>410</v>
      </c>
      <c r="G8" s="17" t="s">
        <v>411</v>
      </c>
      <c r="H8" s="54" t="s">
        <v>391</v>
      </c>
      <c r="I8" s="18" t="n">
        <v>0.063</v>
      </c>
      <c r="J8" s="18" t="n">
        <v>0.062</v>
      </c>
      <c r="K8" s="53" t="n">
        <f aca="false">(I8-J8)*10000</f>
        <v>10</v>
      </c>
      <c r="L8" s="17" t="s">
        <v>412</v>
      </c>
      <c r="M8" s="17" t="s">
        <v>413</v>
      </c>
      <c r="N8" s="54" t="s">
        <v>391</v>
      </c>
    </row>
    <row r="9" customFormat="false" ht="15" hidden="false" customHeight="false" outlineLevel="0" collapsed="false">
      <c r="A9" s="21" t="s">
        <v>68</v>
      </c>
      <c r="B9" s="21" t="s">
        <v>414</v>
      </c>
      <c r="C9" s="24" t="n">
        <v>0.93</v>
      </c>
      <c r="D9" s="24" t="n">
        <v>0.92</v>
      </c>
      <c r="E9" s="55" t="n">
        <f aca="false">(C9-D9)*10000</f>
        <v>100</v>
      </c>
      <c r="F9" s="23" t="s">
        <v>415</v>
      </c>
      <c r="G9" s="23" t="s">
        <v>416</v>
      </c>
      <c r="H9" s="56" t="s">
        <v>391</v>
      </c>
      <c r="I9" s="24" t="n">
        <v>0.064</v>
      </c>
      <c r="J9" s="24" t="n">
        <v>0.052</v>
      </c>
      <c r="K9" s="55" t="n">
        <f aca="false">(I9-J9)*10000</f>
        <v>120</v>
      </c>
      <c r="L9" s="23" t="s">
        <v>417</v>
      </c>
      <c r="M9" s="23" t="s">
        <v>418</v>
      </c>
      <c r="N9" s="56" t="s">
        <v>391</v>
      </c>
    </row>
    <row r="10" customFormat="false" ht="15" hidden="false" customHeight="false" outlineLevel="0" collapsed="false">
      <c r="A10" s="15" t="s">
        <v>73</v>
      </c>
      <c r="B10" s="15" t="s">
        <v>419</v>
      </c>
      <c r="C10" s="18" t="n">
        <v>0.86</v>
      </c>
      <c r="D10" s="18" t="n">
        <v>0.82</v>
      </c>
      <c r="E10" s="53" t="n">
        <f aca="false">(C10-D10)*10000</f>
        <v>400</v>
      </c>
      <c r="F10" s="17" t="s">
        <v>420</v>
      </c>
      <c r="G10" s="17" t="s">
        <v>421</v>
      </c>
      <c r="H10" s="54" t="s">
        <v>391</v>
      </c>
      <c r="I10" s="18" t="n">
        <v>0.066</v>
      </c>
      <c r="J10" s="18" t="n">
        <v>0.065</v>
      </c>
      <c r="K10" s="53" t="n">
        <f aca="false">(I10-J10)*10000</f>
        <v>10</v>
      </c>
      <c r="L10" s="17" t="s">
        <v>422</v>
      </c>
      <c r="M10" s="17" t="s">
        <v>423</v>
      </c>
      <c r="N10" s="54" t="s">
        <v>391</v>
      </c>
    </row>
    <row r="11" customFormat="false" ht="15" hidden="false" customHeight="false" outlineLevel="0" collapsed="false">
      <c r="A11" s="21" t="s">
        <v>78</v>
      </c>
      <c r="B11" s="21" t="s">
        <v>424</v>
      </c>
      <c r="C11" s="24" t="n">
        <v>0.91</v>
      </c>
      <c r="D11" s="24" t="n">
        <v>0.88</v>
      </c>
      <c r="E11" s="55" t="n">
        <f aca="false">(C11-D11)*10000</f>
        <v>300</v>
      </c>
      <c r="F11" s="23" t="s">
        <v>425</v>
      </c>
      <c r="G11" s="23" t="s">
        <v>426</v>
      </c>
      <c r="H11" s="56" t="s">
        <v>391</v>
      </c>
      <c r="I11" s="24" t="n">
        <v>0.064</v>
      </c>
      <c r="J11" s="24" t="n">
        <v>0.06</v>
      </c>
      <c r="K11" s="55" t="n">
        <f aca="false">(I11-J11)*10000</f>
        <v>40</v>
      </c>
      <c r="L11" s="23" t="s">
        <v>427</v>
      </c>
      <c r="M11" s="23" t="s">
        <v>428</v>
      </c>
      <c r="N11" s="56" t="s">
        <v>391</v>
      </c>
    </row>
    <row r="12" customFormat="false" ht="15" hidden="false" customHeight="false" outlineLevel="0" collapsed="false">
      <c r="A12" s="15" t="s">
        <v>83</v>
      </c>
      <c r="B12" s="15" t="s">
        <v>429</v>
      </c>
      <c r="C12" s="18" t="n">
        <v>1</v>
      </c>
      <c r="D12" s="18" t="n">
        <v>0.96</v>
      </c>
      <c r="E12" s="53" t="n">
        <f aca="false">(C12-D12)*10000</f>
        <v>400</v>
      </c>
      <c r="F12" s="17" t="s">
        <v>430</v>
      </c>
      <c r="G12" s="17" t="s">
        <v>431</v>
      </c>
      <c r="H12" s="54" t="s">
        <v>391</v>
      </c>
      <c r="I12" s="18" t="n">
        <v>0.062</v>
      </c>
      <c r="J12" s="18" t="n">
        <v>0.05</v>
      </c>
      <c r="K12" s="53" t="n">
        <f aca="false">(I12-J12)*10000</f>
        <v>120</v>
      </c>
      <c r="L12" s="17" t="s">
        <v>432</v>
      </c>
      <c r="M12" s="17" t="s">
        <v>433</v>
      </c>
      <c r="N12" s="54" t="s">
        <v>391</v>
      </c>
    </row>
    <row r="13" customFormat="false" ht="15" hidden="false" customHeight="false" outlineLevel="0" collapsed="false">
      <c r="A13" s="21" t="s">
        <v>88</v>
      </c>
      <c r="B13" s="21" t="s">
        <v>434</v>
      </c>
      <c r="C13" s="24" t="n">
        <v>0.95</v>
      </c>
      <c r="D13" s="24" t="n">
        <v>0.94</v>
      </c>
      <c r="E13" s="55" t="n">
        <f aca="false">(C13-D13)*10000</f>
        <v>100</v>
      </c>
      <c r="F13" s="23" t="s">
        <v>435</v>
      </c>
      <c r="G13" s="23" t="s">
        <v>436</v>
      </c>
      <c r="H13" s="56" t="s">
        <v>391</v>
      </c>
      <c r="I13" s="24" t="n">
        <v>0.065</v>
      </c>
      <c r="J13" s="24" t="n">
        <v>0.054</v>
      </c>
      <c r="K13" s="55" t="n">
        <f aca="false">(I13-J13)*10000</f>
        <v>110</v>
      </c>
      <c r="L13" s="23" t="s">
        <v>437</v>
      </c>
      <c r="M13" s="23" t="s">
        <v>438</v>
      </c>
      <c r="N13" s="56" t="s">
        <v>391</v>
      </c>
    </row>
    <row r="14" customFormat="false" ht="15" hidden="false" customHeight="false" outlineLevel="0" collapsed="false">
      <c r="A14" s="15" t="s">
        <v>93</v>
      </c>
      <c r="B14" s="15" t="s">
        <v>439</v>
      </c>
      <c r="C14" s="18" t="n">
        <v>1</v>
      </c>
      <c r="D14" s="18" t="n">
        <v>0.97</v>
      </c>
      <c r="E14" s="53" t="n">
        <f aca="false">(C14-D14)*10000</f>
        <v>300</v>
      </c>
      <c r="F14" s="17" t="s">
        <v>440</v>
      </c>
      <c r="G14" s="17" t="s">
        <v>441</v>
      </c>
      <c r="H14" s="54" t="s">
        <v>391</v>
      </c>
      <c r="I14" s="18" t="n">
        <v>0.061</v>
      </c>
      <c r="J14" s="18" t="n">
        <v>0.049</v>
      </c>
      <c r="K14" s="53" t="n">
        <f aca="false">(I14-J14)*10000</f>
        <v>120</v>
      </c>
      <c r="L14" s="17" t="s">
        <v>442</v>
      </c>
      <c r="M14" s="17" t="s">
        <v>443</v>
      </c>
      <c r="N14" s="54" t="s">
        <v>391</v>
      </c>
    </row>
    <row r="17" customFormat="false" ht="15" hidden="false" customHeight="false" outlineLevel="0" collapsed="false">
      <c r="A17" s="57" t="s">
        <v>444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</sheetData>
  <mergeCells count="2">
    <mergeCell ref="A1:N1"/>
    <mergeCell ref="A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2026-02-02T09:17:34Z</dcterms:created>
  <dc:creator>openpyxl</dc:creator>
  <dc:description/>
  <dc:language>en-US</dc:language>
  <cp:lastModifiedBy/>
  <dcterms:modified xsi:type="dcterms:W3CDTF">2026-02-02T09:17:34Z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